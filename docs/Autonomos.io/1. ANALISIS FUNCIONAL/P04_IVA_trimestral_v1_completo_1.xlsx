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proyectos\Autonomos.io\1. ANALISIS FUNCIONAL\"/>
    </mc:Choice>
  </mc:AlternateContent>
  <xr:revisionPtr revIDLastSave="0" documentId="8_{3344DA7A-171E-462B-B41B-7CC07123E413}" xr6:coauthVersionLast="47" xr6:coauthVersionMax="47" xr10:uidLastSave="{00000000-0000-0000-0000-000000000000}"/>
  <bookViews>
    <workbookView xWindow="-108" yWindow="-108" windowWidth="23256" windowHeight="14616" tabRatio="500" xr2:uid="{00000000-000D-0000-FFFF-FFFF00000000}"/>
  </bookViews>
  <sheets>
    <sheet name="1·Ficha" sheetId="1" r:id="rId1"/>
    <sheet name="2·Decisiones" sheetId="2" r:id="rId2"/>
    <sheet name="3·Tareas" sheetId="3" r:id="rId3"/>
    <sheet name="4·Inputs M303" sheetId="4" r:id="rId4"/>
    <sheet name="5·Casuísticas" sheetId="5" r:id="rId5"/>
    <sheet name="6·Outputs y BD" sheetId="6" r:id="rId6"/>
  </sheets>
  <definedNames>
    <definedName name="_xlnm._FilterDatabase" localSheetId="2" hidden="1">'3·Tareas'!$B$4:$I$59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9" i="4" l="1"/>
  <c r="H16" i="4"/>
  <c r="H13" i="4"/>
  <c r="H10" i="4"/>
</calcChain>
</file>

<file path=xl/sharedStrings.xml><?xml version="1.0" encoding="utf-8"?>
<sst xmlns="http://schemas.openxmlformats.org/spreadsheetml/2006/main" count="1501" uniqueCount="998">
  <si>
    <t>P04 — DECLARACIÓN TRIMESTRAL IVA · MODELO 303 · 1T</t>
  </si>
  <si>
    <t>Proceso trimestral · P05/P06/P07 son idénticos con cambio de período · Candidato MVP principal</t>
  </si>
  <si>
    <t>ID Proceso</t>
  </si>
  <si>
    <t>P04 (1T) · P05 (2T) · P06 (3T) · P07 (4T)</t>
  </si>
  <si>
    <t>Modelo / Trámite</t>
  </si>
  <si>
    <t>Modelo 303 — Autoliquidación trimestral del IVA</t>
  </si>
  <si>
    <t>Administración</t>
  </si>
  <si>
    <t>AEAT — Agencia Estatal de Administración Tributaria</t>
  </si>
  <si>
    <t>Portal</t>
  </si>
  <si>
    <t>sede.agenciatributaria.gob.es → Impuestos y tasas → IVA → Modelo 303</t>
  </si>
  <si>
    <t>Servicio Pre303</t>
  </si>
  <si>
    <t>La AEAT ofrece el servicio Pre303 que pre-rellena algunos datos censales. El agente debe usarlo como punto de partida cuando esté disponible.</t>
  </si>
  <si>
    <t>Periodicidad</t>
  </si>
  <si>
    <t>Trimestral — 4 veces al año. P05/P06/P07 son clones de P04 con diferente período declarado.</t>
  </si>
  <si>
    <t>Plazo 1T (ene-mar)</t>
  </si>
  <si>
    <t>Del 1 al 20 de abril. Domiciliación bancaria: hasta el 15 de abril.</t>
  </si>
  <si>
    <t>Plazo 2T (abr-jun)</t>
  </si>
  <si>
    <t>Del 1 al 20 de julio. Domiciliación bancaria: hasta el 15 de julio.</t>
  </si>
  <si>
    <t>Plazo 3T (jul-sep)</t>
  </si>
  <si>
    <t>Del 1 al 20 de octubre. Domiciliación bancaria: hasta el 15 de octubre.</t>
  </si>
  <si>
    <t>Plazo 4T (oct-dic)</t>
  </si>
  <si>
    <t>Del 1 al 30 de enero (año siguiente). Domiciliación: hasta el 25 de enero. Presentación conjunta con M390.</t>
  </si>
  <si>
    <t>Excepción fin de semana / festivo</t>
  </si>
  <si>
    <t>Si el día 20 (o 30 en 4T) es sábado, domingo o festivo nacional → se amplía al siguiente día hábil. El agente debe calcular esto dinámicamente.</t>
  </si>
  <si>
    <t>Sanción fuera de plazo</t>
  </si>
  <si>
    <t>Sin requerimiento: recargo del 1% mensual (1%-12% según meses de retraso). Con requerimiento: sanción mínima 50% de la cuota no declarada (art. 191 LGT).</t>
  </si>
  <si>
    <t>Sanción sin actividad no presentado</t>
  </si>
  <si>
    <t>200 € (reducible a 100 € si se regulariza antes de requerimiento).</t>
  </si>
  <si>
    <t>Condición de activación</t>
  </si>
  <si>
    <t>sujeto_iva=True Y regimen_iva=general (o criterio_caja). NO aplica si actividad exenta o en recargo de equivalencia.</t>
  </si>
  <si>
    <t>Prerrequisito</t>
  </si>
  <si>
    <t>P01 completado (alta censal activa con IVA en régimen general)</t>
  </si>
  <si>
    <t>Output primario</t>
  </si>
  <si>
    <t>Modelo 303 presentado con resultado: A INGRESAR / A COMPENSAR / SIN ACTIVIDAD</t>
  </si>
  <si>
    <t>Justificante esperado</t>
  </si>
  <si>
    <t>PDF oficial con NRC (resultado a ingresar) o CSV de presentación (compensación/sin actividad)</t>
  </si>
  <si>
    <t>Procesos relacionados</t>
  </si>
  <si>
    <t>P08 (M390 anual — agrega los 4 trimestres) · P09 (M130 IRPF — mismo período, presentación coordinada)</t>
  </si>
  <si>
    <t>Automatizable</t>
  </si>
  <si>
    <t>SÍ — RPA completo con confirmación obligatoria del usuario antes de presentar</t>
  </si>
  <si>
    <t>Prioridad MVP</t>
  </si>
  <si>
    <t>MÁXIMA — proceso más universal, 4 veces/año, 3,4M autónomos potenciales</t>
  </si>
  <si>
    <t>Versión normativa</t>
  </si>
  <si>
    <t>Ley 37/1992 LIVA · RD 1624/1992 Reglamento IVA · Instrucciones M303 AEAT 2026</t>
  </si>
  <si>
    <t>PERÍODOS DECLARADOS — LOS 4 TRIMESTRES</t>
  </si>
  <si>
    <t>Proceso</t>
  </si>
  <si>
    <t>Período declarado</t>
  </si>
  <si>
    <t>Apertura presentación</t>
  </si>
  <si>
    <t>Plazo límite</t>
  </si>
  <si>
    <t>Domiciliación hasta</t>
  </si>
  <si>
    <t>P04</t>
  </si>
  <si>
    <t>1T — Enero, Febrero, Marzo</t>
  </si>
  <si>
    <t>1 de abril</t>
  </si>
  <si>
    <t>20 de abril</t>
  </si>
  <si>
    <t>15 de abril</t>
  </si>
  <si>
    <t>P05</t>
  </si>
  <si>
    <t>2T — Abril, Mayo, Junio</t>
  </si>
  <si>
    <t>1 de julio</t>
  </si>
  <si>
    <t>20 de julio</t>
  </si>
  <si>
    <t>15 de julio</t>
  </si>
  <si>
    <t>P06</t>
  </si>
  <si>
    <t>3T — Julio, Agosto, Septiembre</t>
  </si>
  <si>
    <t>1 de octubre</t>
  </si>
  <si>
    <t>20 de octubre</t>
  </si>
  <si>
    <t>15 de octubre</t>
  </si>
  <si>
    <t>P07</t>
  </si>
  <si>
    <t>4T — Octubre, Noviembre, Diciembre</t>
  </si>
  <si>
    <t>1 de enero (año sig.)</t>
  </si>
  <si>
    <t>30 de enero (año sig.)</t>
  </si>
  <si>
    <t>25 de enero (año sig.)</t>
  </si>
  <si>
    <t>FÓRMULA CENTRAL DEL PROCESO</t>
  </si>
  <si>
    <t>RESULTADO = IVA REPERCUTIDO (devengado) − IVA SOPORTADO (deducible) ± AJUSTES</t>
  </si>
  <si>
    <t>Positivo → A INGRESAR (el autónomo paga a Hacienda)   |   Negativo → A COMPENSAR (se arrastra al siguiente trimestre)   |   Solo en 4T negativo → puede solicitar DEVOLUCIÓN</t>
  </si>
  <si>
    <t>P04 — ÁRBOL DE DECISIONES PREVIAS A LA DECLARACIÓN TRIMESTRAL IVA</t>
  </si>
  <si>
    <t>ID</t>
  </si>
  <si>
    <t>PREGUNTA / LÓGICA DEL AGENTE</t>
  </si>
  <si>
    <t>SI → consecuencia</t>
  </si>
  <si>
    <t>NO → consecuencia</t>
  </si>
  <si>
    <t>CAMPOS AFECTADOS</t>
  </si>
  <si>
    <t>DATO EN PERFIL / BD</t>
  </si>
  <si>
    <t>BLOQUEA?</t>
  </si>
  <si>
    <t>D01</t>
  </si>
  <si>
    <t>¿El autónomo tiene el P01 completado y su alta censal activa con IVA en régimen general?
[AGENTE verifica en BD: ESTADO_PROCESOS.P01='COMPLETADO' Y perfil.sujeto_iva=True Y perfil.regimen_iva='general']</t>
  </si>
  <si>
    <t>Continuar con P04.</t>
  </si>
  <si>
    <t>STOP BLOQUEANTE.
· Si P01 no completado → ejecutar P01 primero.
· Si exento IVA → este proceso no aplica.
· Si recargo equivalencia → no presenta M303.</t>
  </si>
  <si>
    <t>Verificación interna BD</t>
  </si>
  <si>
    <t>P01_completado: bool
sujeto_iva: bool
regimen_iva: str</t>
  </si>
  <si>
    <t>SÍ — proceso bloqueante</t>
  </si>
  <si>
    <t>D02</t>
  </si>
  <si>
    <t>¿El período declarado está cerrado?
[AGENTE verifica: la fecha actual es posterior al último día del trimestre a declarar]
Ej: para 1T (ene-mar), la fecha debe ser ≥ 1 de abril</t>
  </si>
  <si>
    <t>El período está cerrado. Se pueden declarar todas las facturas del trimestre.</t>
  </si>
  <si>
    <t>El trimestre aún está en curso. Solo se puede declarar si el usuario lo solicita explícitamente (raro pero posible). Advertir que pueden faltar facturas.</t>
  </si>
  <si>
    <t>Ninguno — verificación de calendario</t>
  </si>
  <si>
    <t>periodo_cerrado: bool
fecha_fin_periodo: date</t>
  </si>
  <si>
    <t>NO — solo advertencia</t>
  </si>
  <si>
    <t>D03</t>
  </si>
  <si>
    <t>¿Ya existe un M303 presentado para este período?
[AGENTE verifica en BD: tabla PRESENTACIONES con proceso=P04 y periodo=trimestre_actual]</t>
  </si>
  <si>
    <t>STOP. Ya presentado. ¿El usuario quiere presentar una AUTOLIQUIDACIÓN RECTIFICATIVA? → derivar a P04-R (rectificativa).</t>
  </si>
  <si>
    <t>No existe presentación previa. Continuar con presentación ordinaria.</t>
  </si>
  <si>
    <t>presentacion_previa: bool
csv_presentacion_previa: str|None</t>
  </si>
  <si>
    <t>SÍ — cambia a proceso rectificativo</t>
  </si>
  <si>
    <t>D04</t>
  </si>
  <si>
    <t>¿El autónomo está en régimen de criterio de caja (RECC)?
[AGENTE verifica: perfil.regimen_iva='caja']</t>
  </si>
  <si>
    <t>IVA se devenga cuando se COBRA (no cuando se emite la factura). Las facturas emitidas no cobradas del trimestre NO se incluyen en el devengado. Aplicar lógica especial de caja.</t>
  </si>
  <si>
    <t>Régimen general estándar. IVA se devenga cuando se emite la factura (independientemente del cobro).</t>
  </si>
  <si>
    <t>Casillas de criterio de caja en M303</t>
  </si>
  <si>
    <t>regimen_iva: str
es_criterio_caja: bool</t>
  </si>
  <si>
    <t>NO — bifurca lógica de cálculo</t>
  </si>
  <si>
    <t>D05</t>
  </si>
  <si>
    <t>¿Hay facturas emitidas en el trimestre?
[AGENTE consulta libros registro: facturas con fecha en el período]</t>
  </si>
  <si>
    <t>Declaración con actividad. Calcular IVA repercutido.</t>
  </si>
  <si>
    <t>Sin ingresos. Posible declaración SIN ACTIVIDAD o solo con gastos (resultado negativo). Preguntar al usuario si ha habido ALGUNA operación.</t>
  </si>
  <si>
    <t>Casilla dedicada 'Sin actividad'</t>
  </si>
  <si>
    <t>tiene_ingresos: bool
num_facturas_emitidas: int</t>
  </si>
  <si>
    <t>NO — determina tipo de declaración</t>
  </si>
  <si>
    <t>D06</t>
  </si>
  <si>
    <t>¿Hay facturas/gastos con IVA soportado deducible en el trimestre?
[AGENTE consulta libros registro: gastos con IVA deducible en el período]</t>
  </si>
  <si>
    <t>Incluir IVA soportado deducible. Reduce el resultado a pagar.</t>
  </si>
  <si>
    <t>Sin gastos deducibles. Solo IVA repercutido (o declaración sin actividad si D05 también es NO).</t>
  </si>
  <si>
    <t>Casillas 28-44</t>
  </si>
  <si>
    <t>tiene_gastos_deducibles: bool
num_facturas_recibidas: int</t>
  </si>
  <si>
    <t>NO — afecta al cálculo</t>
  </si>
  <si>
    <t>D07</t>
  </si>
  <si>
    <t>¿Existe saldo a compensar de trimestres anteriores?
[AGENTE consulta BD: resultado negativo de trimestres previos marcados como 'A COMPENSAR']</t>
  </si>
  <si>
    <t>Incluir el saldo a compensar en casilla 110. Reduce el resultado del trimestre actual.</t>
  </si>
  <si>
    <t>No hay saldo previo. Casilla 110 = 0.</t>
  </si>
  <si>
    <t>Casilla 110 (cuotas a compensar de períodos anteriores)</t>
  </si>
  <si>
    <t>saldo_compensar_previo: float
periodo_origen_compensacion: str</t>
  </si>
  <si>
    <t>D08</t>
  </si>
  <si>
    <t>¿Hay operaciones intracomunitarias en el trimestre (compras o ventas a empresas UE)?
[AGENTE verifica facturas con proveedores/clientes UE en el período]</t>
  </si>
  <si>
    <t>Incluir secciones específicas M303:
· Adquisiciones intracom (compras UE): casillas 10-11
· Entregas intracom exentas (ventas UE): casilla 59
· Servicios intracom: según inversión sujeto pasivo</t>
  </si>
  <si>
    <t>No hay operaciones intracomunitarias. Omitir esas casillas.</t>
  </si>
  <si>
    <t>Casillas 10-11, 59, 62</t>
  </si>
  <si>
    <t>opera_intracomunitario: bool
importe_adquis_intracom: float
importe_entregas_intracom: float</t>
  </si>
  <si>
    <t>NO — añade secciones al modelo</t>
  </si>
  <si>
    <t>D09</t>
  </si>
  <si>
    <t>¿Hay operaciones con inversión del sujeto pasivo?
[Ej: compras de servicios a proveedores extranjeros no establecidos en España — Google, Meta, Slack, AWS si no tienen NIF español]
[AGENTE detecta facturas sin IVA de proveedores extranjeros]</t>
  </si>
  <si>
    <t>Aplicar inversión sujeto pasivo: el autónomo autoliquida el IVA. Se incluye TANTO en devengado (casillas 12-13) COMO en deducible (si el gasto es deducible). Efecto neto: 0 si 100% deducible.</t>
  </si>
  <si>
    <t>Sin inversión sujeto pasivo. No rellenar casillas 12-13.</t>
  </si>
  <si>
    <t>Casillas 12-13 (devengado inversión sujeto pasivo)
Casillas deducibles correspondientes</t>
  </si>
  <si>
    <t>tiene_inversion_sujeto_pasivo: bool
importe_isp: float</t>
  </si>
  <si>
    <t>NO — añade secciones complejas</t>
  </si>
  <si>
    <t>D10</t>
  </si>
  <si>
    <t>¿Hay bienes de inversión adquiridos en el trimestre?
[Bien de inversión: activo que dura &gt; 1 año Y valor &gt; 3.005,06 € sin IVA]
[Activos &lt; 3.005,06 € se tratan como gasto corriente aunque duren &gt; 1 año]</t>
  </si>
  <si>
    <t>Separar el IVA de bienes de inversión en casillas 30-31 (no en 28-29 de corrientes).
Nota: IVA de bienes de inversión se puede regularizar durante 4 años siguientes (para inmuebles: 10 años).</t>
  </si>
  <si>
    <t>Sin bienes de inversión. Todo IVA deducible va a casillas 28-29 (operaciones interiores corrientes).</t>
  </si>
  <si>
    <t>Casillas 30-31 (bienes de inversión interiores)</t>
  </si>
  <si>
    <t>tiene_bienes_inversion: bool
bienes_inversion: list[{descripcion, valor, iva}]</t>
  </si>
  <si>
    <t>NO — separa casillas de deducible</t>
  </si>
  <si>
    <t>D11</t>
  </si>
  <si>
    <t>¿El resultado del trimestre es a ingresar, a compensar o sin actividad?
[AGENTE calcula: resultado = devengado - deducible - compensaciones_previas]</t>
  </si>
  <si>
    <t>POSITIVO (&gt; 0): A INGRESAR. Casilla 71. Generar NRC o domiciliar.</t>
  </si>
  <si>
    <t>NEGATIVO (&lt; 0): A COMPENSAR (o devolución si es 4T y usuario lo solicita).
CERO o SIN ACTIVIDAD: casilla especial.</t>
  </si>
  <si>
    <t>Casilla 46/66 (resultado)
Casilla 69 (a ingresar)
Casilla 71 (importe NRC)
Casilla 72 (a devolver)
Casilla 110 (a compensar)</t>
  </si>
  <si>
    <t>resultado_trimestre: float
tipo_resultado: str
[a_ingresar/a_compensar/sin_actividad/devolucion]</t>
  </si>
  <si>
    <t>NO — determina el final del proceso</t>
  </si>
  <si>
    <t>D12</t>
  </si>
  <si>
    <t>Si resultado negativo Y es 4T: ¿solicita devolución o prefiere compensar?
[AGENTE pregunta al usuario explícitamente]</t>
  </si>
  <si>
    <t>DEVOLUCIÓN: marcar casilla 72 con el importe. Hacienda ingresa en cuenta en plazo de 6 meses (habitualmente antes).</t>
  </si>
  <si>
    <t>COMPENSACIÓN: marcar casilla 110 con el importe. Se arrastra al 1T del año siguiente.</t>
  </si>
  <si>
    <t>Casilla 72 (devolución)
Casilla 110 (compensación)</t>
  </si>
  <si>
    <t>solicita_devolucion: bool
importe_devolucion: float|None</t>
  </si>
  <si>
    <t>NO — decisión del usuario</t>
  </si>
  <si>
    <t>P04 — TAREAS DETALLADAS PASO A PASO · DECLARACIÓN TRIMESTRAL IVA MODELO 303</t>
  </si>
  <si>
    <t>TIPO</t>
  </si>
  <si>
    <t>NOMBRE DE LA TAREA</t>
  </si>
  <si>
    <t>INPUTS</t>
  </si>
  <si>
    <t>LÓGICA / ACCIÓN EXACTA</t>
  </si>
  <si>
    <t>OUTPUT</t>
  </si>
  <si>
    <t>ACTOR</t>
  </si>
  <si>
    <t>NOTAS / ALERTAS</t>
  </si>
  <si>
    <t>BLOQUE 0 — PRERREQUISITOS Y DETECCIÓN DEL PROCESO</t>
  </si>
  <si>
    <t>T04-00</t>
  </si>
  <si>
    <t>DECISIÓN</t>
  </si>
  <si>
    <t>Verificar prerrequisitos del proceso</t>
  </si>
  <si>
    <t>BD: ESTADO_PROCESOS, PERFILES</t>
  </si>
  <si>
    <t>Verificar simultáneamente:
1. P01_completado=True
2. perfil.sujeto_iva=True
3. perfil.regimen_iva IN ['general','caja']
4. No existe M303 presentado para este período
5. El período está cerrado (o próximo al cierre — alertar si faltan &lt; 5 días)
Si alguna condición falla → STOP con mensaje específico al usuario</t>
  </si>
  <si>
    <t>prerrequisitos_ok: bool
motivo_fallo: str|None</t>
  </si>
  <si>
    <t>AGENTE</t>
  </si>
  <si>
    <t>⚠️ Verificar ANTES de cualquier otra acción. Un M303 duplicado para el mismo período es un error grave que requiere autoliquidación rectificativa.</t>
  </si>
  <si>
    <t>T04-01</t>
  </si>
  <si>
    <t>Determinar el período a declarar</t>
  </si>
  <si>
    <t>Fecha actual
Histórico de presentaciones en BD</t>
  </si>
  <si>
    <t>Calcular qué trimestre corresponde presentar:
1. Identificar el último trimestre cerrado no presentado
2. Si hay varios sin presentar → ALERTA: trimestres pendientes acumulados (ver casuística C02)
3. Confirmar con el usuario el período si hay ambigüedad
Regla de detección:
IF fecha_actual IN (1-abr a 20-abr): 1T (ene-mar) año actual
IF fecha_actual IN (1-jul a 20-jul): 2T (abr-jun) año actual
IF fecha_actual IN (1-oct a 20-oct): 3T (jul-sep) año actual
IF fecha_actual IN (1-ene a 30-ene): 4T (oct-dic) año anterior</t>
  </si>
  <si>
    <t>ejercicio: int (año)
periodo: str ['1T','2T','3T','4T']
fecha_inicio_periodo: date
fecha_fin_periodo: date
fecha_limite_presentacion: date
dias_para_vencimiento: int</t>
  </si>
  <si>
    <t>Calcular fecha_limite_presentacion dinámicamente teniendo en cuenta festivos nacionales. Si el día 20 o 30 es festivo/fin de semana → siguiente día hábil. Usar calendario oficial AEAT.</t>
  </si>
  <si>
    <t>BLOQUE 1 — RECOPILACIÓN Y CLASIFICACIÓN DE FACTURAS</t>
  </si>
  <si>
    <t>T04-02</t>
  </si>
  <si>
    <t>INPUT</t>
  </si>
  <si>
    <t>Recopilar facturas emitidas del período</t>
  </si>
  <si>
    <t>Período declarado (fecha_inicio_periodo a fecha_fin_periodo)
Libros registro existentes en BD</t>
  </si>
  <si>
    <t>3 vías de entrada (el usuario elige):
VÍA A — Importación desde libros registro (si el agente lleva los libros):
  Consultar BD: facturas emitidas con fecha en el período
  Sin intervención del usuario
VÍA B — Upload de archivo:
  El usuario sube CSV/Excel con sus facturas
  El agente parsea y valida el formato
VÍA C — Captura manual:
  El agente pregunta interactivamente: NIF cliente, fecha, base imponible, tipo IVA, retención IRPF
  Mínimo 1 factura, sin límite máximo</t>
  </si>
  <si>
    <t>facturas_emitidas: list[{
  numero: str,
  fecha: date,
  nif_cliente: str,
  nombre_cliente: str,
  base_imponible: float,
  tipo_iva: float (0/4/10/21),
  cuota_iva: float,
  retencion_irpf: float (0/7/15/19),
  importe_total: float,
  cobrada: bool (para criterio caja)
}]</t>
  </si>
  <si>
    <t>USUARIO/AGENTE</t>
  </si>
  <si>
    <t>⚠️ Para criterio de caja: solo incluir las facturas COBRADAS en el período, no las emitidas. El agente debe filtrar por fecha de cobro, no de emisión.
⚠️ Las facturas deben ser COMPLETAS (con NIF del cliente, base imponible, tipo IVA). Las facturas simplificadas a particulares sin NIF también se incluyen pero sin identificar al cliente.</t>
  </si>
  <si>
    <t>T04-03</t>
  </si>
  <si>
    <t>OCR</t>
  </si>
  <si>
    <t>Extraer datos de facturas emitidas si se suben en PDF/imagen</t>
  </si>
  <si>
    <t>Archivos PDF o imagen de facturas</t>
  </si>
  <si>
    <t>Por cada archivo subido:
1. OCR para extraer texto de la factura
2. Identificar campos: número de factura, fecha, NIF emisor (verificar = NIF del autónomo), NIF receptor, descripción, base imponible por tipo IVA, cuota IVA, total
3. Validar que la factura la ha emitido el propio autónomo (NIF emisor = perfil.nif)
4. Añadir a facturas_emitidas
5. Mostrar al usuario para revisión (especialmente si OCR tiene baja confianza)</t>
  </si>
  <si>
    <t>facturas_emitidas_ocr: list
confianza_ocr: float por factura
facturas_requieren_revision: list</t>
  </si>
  <si>
    <t>El OCR puede fallar en facturas con maquetaciones complejas, escaneadas con baja resolución o en idioma no español. Si confianza &lt; 80% → marcar para revisión manual del usuario. Nunca asumir datos con baja confianza.</t>
  </si>
  <si>
    <t>T04-04</t>
  </si>
  <si>
    <t>Recopilar facturas recibidas / gastos deducibles del período</t>
  </si>
  <si>
    <t>Mismas 3 vías que T04-02 pero para gastos:
VÍA A — Desde libros registro de compras en BD
VÍA B — Upload CSV/Excel de gastos
VÍA C — Captura manual de cada factura recibida
En cualquier caso, por cada factura recibida capturar:
· NIF del proveedor, nombre, fecha, base imponible, tipo IVA, cuota IVA
· Clasificación: ¿es gasto CORRIENTE o BIEN DE INVERSIÓN? (si &gt; 3.005,06 € y dura &gt; 1 año)
· ¿Es 100% deducible o tiene uso mixto (personal + profesional)?</t>
  </si>
  <si>
    <t>facturas_recibidas: list[{
  numero: str,
  fecha: date,
  nif_proveedor: str,
  nombre_proveedor: str,
  base_imponible: float,
  tipo_iva: float,
  cuota_iva: float,
  tipo_gasto: str ['corriente','inversion'],
  porcentaje_deduccion: float (0-100),
  cuota_iva_deducible: float,
  pagada: bool (para criterio caja)
}]</t>
  </si>
  <si>
    <t>⚠️ Tickets sin datos fiscales completos (NIF del emisor, base imponible, cuota IVA) NO son válidos para deducir IVA. Solo facturas completas.
⚠️ El agente NO decide si un gasto es deducible — propone basándose en reglas pero el usuario confirma los casos dudosos.</t>
  </si>
  <si>
    <t>T04-05</t>
  </si>
  <si>
    <t>Extraer datos de facturas recibidas si se suben en PDF/imagen</t>
  </si>
  <si>
    <t>Archivos PDF o imagen de facturas de proveedores</t>
  </si>
  <si>
    <t>Por cada archivo:
1. OCR para extraer: NIF emisor, fecha, descripción del servicio/producto, base imponible, tipo IVA, cuota IVA
2. Verificar que el NIF receptor = perfil.nif del autónomo
3. Clasificar automáticamente el tipo de gasto según descripción + NIF proveedor:
   · Software/hosting/suscripciones SaaS → corriente
   · Material informático &lt; 3.005,06 € → corriente
   · Material informático ≥ 3.005,06 € → inversión
   · Alquiler local → corriente (retención IRPF 19%)
   · Comidas en restaurante → corriente (clasificar como 'dudoso', pedir confirmación)
4. Proponer porcentaje de deducción según reglas conocidas</t>
  </si>
  <si>
    <t>facturas_recibidas_ocr: list
clasificacion_automatica: dict
gastos_dudosos: list (requieren confirmación usuario)</t>
  </si>
  <si>
    <t>Ver tabla de deducibilidad en Hoja 4 (Inputs). El agente propone; el usuario confirma los dudosos.</t>
  </si>
  <si>
    <t>BLOQUE 2 — CLASIFICACIÓN DE DEDUCIBILIDAD DEL IVA SOPORTADO</t>
  </si>
  <si>
    <t>T04-06</t>
  </si>
  <si>
    <t>Clasificar deducibilidad del IVA de cada gasto</t>
  </si>
  <si>
    <t>facturas_recibidas (lista completa)
Reglas de deducibilidad (tabla en Hoja 4)</t>
  </si>
  <si>
    <t>Aplicar reglas por categoría de gasto:
100% DEDUCIBLE (sin duda):
  · Hosting, software, dominios, suscripciones SaaS
  · Material de oficina (papel, tóner, etc.)
  · Servicios profesionales (gestoría, abogado, diseñador)
  · Alquiler de local de negocio (si el local es exclusivamente para la actividad)
  · Equipos informáticos de uso exclusivo profesional
  · Formación directamente relacionada con la actividad
  · Publicidad y marketing
  · Gastos de envío y mensajería
50% DEDUCIBLE (uso mixto presumido):
  · Vehículo (salvo transportistas/agentes comerciales → 100%)
  · Gasolina/combustible del vehículo
  · Teléfono móvil (si uso mixto personal/profesional)
CONDICIONAL / DUDOSO (preguntar al usuario):
  · Comidas en restaurante: deducible solo si tiene finalidad profesional demostrable, en día laborable, con anotación del cliente con quien se hizo
  · Ropa: solo si es EPI (ropa de seguridad) o lleva logo de empresa
  · Gastos de representación: límite del 1% del volumen de operaciones
0% DEDUCIBLE:
  · Alimentación personal (supermercado)
  · Ropa de calle sin logo empresarial
  · Gastos de viaje con finalidad personal
  · Multas y sanciones</t>
  </si>
  <si>
    <t>facturas_recibidas_clasificadas: list[
  {... porcentaje_deduccion: float,
   categoria: str,
   cuota_iva_deducible: float,
   requiere_confirmacion: bool}
]</t>
  </si>
  <si>
    <t>⚠️ El agente PROPONE la clasificación. Para los gastos marcados como 'requiere_confirmacion' → presentar al usuario con explicación y pedir confirmación explícita.
⚠️ La responsabilidad de la veracidad y deducibilidad recae en el usuario — el agente lo documenta en el log.</t>
  </si>
  <si>
    <t>T04-07</t>
  </si>
  <si>
    <t>Confirmar clasificación de gastos dudosos con el usuario</t>
  </si>
  <si>
    <t>gastos_dudosos: list (de T04-06)</t>
  </si>
  <si>
    <t>Para cada gasto dudoso, presentar al usuario:
'He encontrado esta factura que podría ser deducible pero necesito tu confirmación:
📄 [NIF proveedor] — [Descripción] — [Importe] € + [Cuota IVA] € IVA
¿Es un gasto relacionado con tu actividad profesional?
· [SÍ, es profesional al 100%]
· [SÍ, pero con uso mixto personal — deducir 50%]
· [NO, es personal — no deducir]'
Registrar la decisión del usuario en el log de auditoría.</t>
  </si>
  <si>
    <t>gastos_confirmados: dict{factura_id: porcentaje_deduccion}
log_decisiones_usuario: list</t>
  </si>
  <si>
    <t>USUARIO</t>
  </si>
  <si>
    <t>El log de decisiones del usuario es importante para auditoría. Si Hacienda pregunta por qué se dedujo un gasto concreto, el log muestra que fue el usuario quien lo confirmó como profesional.</t>
  </si>
  <si>
    <t>BLOQUE 3 — CÁLCULO DEL IVA Y RESULTADO DEL TRIMESTRE</t>
  </si>
  <si>
    <t>T04-08</t>
  </si>
  <si>
    <t>CÁLCULO</t>
  </si>
  <si>
    <t>Calcular IVA repercutido total por tipo impositivo</t>
  </si>
  <si>
    <t>facturas_emitidas (clasificadas)
es_criterio_caja: bool</t>
  </si>
  <si>
    <t>Agrupar facturas emitidas por tipo de IVA:
TIPO 0%:
  base_0 = Σ base_imponible de facturas con tipo_iva=0
  cuota_0 = 0 (no hay cuota al 0%)
  → casillas 150, 151, 152
TIPO 4% (superreducido):
  base_4 = Σ base_imponible de facturas con tipo_iva=4
  cuota_4 = Σ cuota_iva de facturas con tipo_iva=4
  → casillas 01, 02, 03
TIPO 10% (reducido):
  base_10 = Σ base_imponible de facturas con tipo_iva=10
  cuota_10 = Σ cuota_iva de facturas con tipo_iva=10
  → casillas 04, 05, 06
TIPO 21% (general):
  base_21 = Σ base_imponible de facturas con tipo_iva=21
  cuota_21 = Σ cuota_iva de facturas con tipo_iva=21
  → casillas 07, 08, 09
Si criterio_caja=True: solo incluir facturas COBRADAS en el período
TOTAL DEVENGADO (casilla 27):
  total_devengado = cuota_4 + cuota_10 + cuota_21 + cuotas_especiales</t>
  </si>
  <si>
    <t>devengado_por_tipo: dict{
  '0%': {base, cuota},
  '4%': {base, cuota},
  '10%': {base, cuota},
  '21%': {base, cuota}
}
total_devengado: float (casilla 27)</t>
  </si>
  <si>
    <t>⚠️ Verificar que cuota = base × tipo / 100 con tolerancia de ±0,02 € por redondeos. Si la discrepancia es mayor → alerta al usuario para que revise la factura.
⚠️ En 2026 verificar tipos vigentes: algunos tipos reducidos temporales (aceite de oliva, energía) pueden haber variado. Consultar tabla de tipos actualizada.</t>
  </si>
  <si>
    <t>T04-09</t>
  </si>
  <si>
    <t>Calcular inversión del sujeto pasivo (si aplica)</t>
  </si>
  <si>
    <t>facturas_recibidas con proveedor extranjero sin NIF español
es_criterio_caja: bool</t>
  </si>
  <si>
    <t>Para facturas de proveedores extranjeros sin IVA (Google, Meta, AWS, Slack, Adobe, etc. que NO tienen NIF español):
El autónomo AUTOLIQUIDA el IVA:
  base_isp = Σ base de esas facturas
  cuota_isp = base_isp × 0.21
  → casillas 12 (base) y 13 (cuota) — DEVENGADO por ISP
Si el servicio es 100% deducible:
  → También va a casillas deducibles (34-35 adquis. intracom. o específicas ISP)
  → Efecto neto = 0 (se anula)
Si el servicio NO es 100% deducible:
  → Solo va en devengado, no en deducible
  → Efecto neto = cuota_isp a pagar
Ejemplos comunes de ISP:
· Suscripción a Google Workspace, Adobe Creative, Slack, GitHub, AWS
· Servicios de publicidad en Meta Ads, Google Ads si no tienen NIF español
· Plataformas freelance (Upwork, Fiverr) si no tienen NIF español</t>
  </si>
  <si>
    <t>base_isp: float (casilla 12)
cuota_isp: float (casilla 13)
cuota_isp_deducible: float</t>
  </si>
  <si>
    <t>⚠️ Error muy frecuente: muchos autónomos ignoran la inversión del sujeto pasivo de sus suscripciones de software extranjero. Si la cuota es 100% deducible el efecto es neutro, pero NO declararlo puede generar requerimientos.
⚠️ Google, Meta y otros grandes proveedores SÍ tienen NIF español desde 2019 (los emiten sus filiales españolas). Verificar el NIF en el VIES antes de aplicar ISP.</t>
  </si>
  <si>
    <t>T04-10</t>
  </si>
  <si>
    <t>Calcular IVA soportado deducible total</t>
  </si>
  <si>
    <t>facturas_recibidas_clasificadas
cuota_isp_deducible (de T04-09)</t>
  </si>
  <si>
    <t>OPERACIONES INTERIORES CORRIENTES (casillas 28-29):
  base_corriente = Σ base de gastos corrientes con deducción &gt; 0
  cuota_corriente = Σ (cuota_iva × porcentaje_deduccion/100) de gastos corrientes
BIENES DE INVERSIÓN INTERIORES (casillas 30-31):
  base_inversion = Σ base de bienes de inversión con deducción &gt; 0
  cuota_inversion = Σ (cuota_iva × porcentaje_deduccion/100) de bienes de inversión
ADQUISICIONES INTRACOMUNITARIAS CORRIENTES (casillas 34-35):
  base_intracom = Σ base de compras UE corrientes
  cuota_intracom = Σ cuota de compras UE (incluye ISP si aplica)
OPERACIONES ISP deducibles (si aplica) → incluidas en 34-35 o casillas específicas
OTRAS DEDUCCIONES (casillas 40-41):
  Deducciones de trimestres anteriores no deducidas en su momento (hasta 4 años)
TOTAL DEDUCIBLE (casilla 45):
  total_deducible = cuota_corriente + cuota_inversion + cuota_intracom + isp_deducible + otras</t>
  </si>
  <si>
    <t>deducible_por_tipo: dict{
  'corriente': {base, cuota},
  'inversion': {base, cuota},
  'intracom': {base, cuota},
  'isp': {base, cuota},
  'otras': {base, cuota}
}
total_deducible: float (casilla 45)</t>
  </si>
  <si>
    <t>⚠️ Recordar al usuario: tiene hasta 4 AÑOS para deducir el IVA de una factura. Si olvidó deducir gastos de trimestres anteriores → puede incluirlos en casillas 40-41 de este trimestre.
⚠️ Verificar que cada factura deducible tiene: NIF del emisor, fecha, descripción, base imponible y cuota IVA. Sin estos datos la AEAT puede no admitir la deducción en inspección.</t>
  </si>
  <si>
    <t>T04-11</t>
  </si>
  <si>
    <t>Calcular resultado del trimestre</t>
  </si>
  <si>
    <t>total_devengado (casilla 27)
total_deducible (casilla 45)
saldo_compensar_previo (casilla 110)</t>
  </si>
  <si>
    <t>RESULTADO RÉGIMEN GENERAL (casilla 46):
  resultado_general = total_devengado - total_deducible
RESULTADO TOTAL ANTES DE COMPENSACIONES (casilla 66):
  resultado_total = resultado_general + otros_regímenes_especiales
COMPENSACIONES DE PERÍODOS ANTERIORES (casilla 110):
  a_compensar_previo = saldo_compensar_previo (de BD)
RESULTADO FINAL (casilla 69):
  resultado_final = resultado_total - a_compensar_previo
CLASIFICACIÓN:
  IF resultado_final &gt; 0: tipo_resultado = 'a_ingresar'
  IF resultado_final &lt; 0: tipo_resultado = 'a_compensar' (o 'devolucion' si 4T)
  IF resultado_final = 0 Y sin actividad: tipo_resultado = 'sin_actividad'
  IF resultado_final = 0 Y hay operaciones: tipo_resultado = 'resultado_cero'</t>
  </si>
  <si>
    <t>resultado_general: float (casilla 46)
resultado_total: float (casilla 66)
resultado_final: float (casilla 69)
tipo_resultado: str
importe_a_ingresar: float|None
importe_a_compensar: float|None</t>
  </si>
  <si>
    <t>Verificar coherencia aritmética: casilla 27 - casilla 45 = casilla 46. Si el formulario AEAT da un resultado diferente al calculado por el agente → ALERTA CRÍTICA antes de presentar.</t>
  </si>
  <si>
    <t>T04-12</t>
  </si>
  <si>
    <t>Calcular datos para el bloque informativo</t>
  </si>
  <si>
    <t>facturas_emitidas
facturas_recibidas</t>
  </si>
  <si>
    <t>Las casillas informativas NO afectan al resultado pero deben declararse correctamente:
CASILLA 59 (entregas intracomunitarias exentas):
  = Σ base de facturas emitidas a clientes UE con NIF-IVA válido (IVA 0% intracom)
CASILLA 60 (exportaciones y operaciones asimiladas — fuera UE):
  = Σ base de facturas emitidas a clientes fuera de la UE
CASILLA 61 (operaciones no sujetas / exentas sin derecho a deducción):
  = Σ base de facturas emitidas exentas de IVA (si tiene actividad mixta)
CASILLA 62 (servicios prestados a empresarios UE — inversión sujeto pasivo en el cliente):
  = Σ base de servicios B2B prestados a empresas UE (el cliente autoliquida en su país)
CASILLA 123 (entregas de inmuebles exentas o con renuncia a la exención):
  = Σ base de ventas de inmuebles en el período (si aplica)</t>
  </si>
  <si>
    <t>bloque_informativo: dict{
  c59: float,
  c60: float,
  c61: float,
  c62: float,
  c123: float
}</t>
  </si>
  <si>
    <t>⚠️ Las casillas informativas son verificadas por la AEAT cruzando con el M349 (operaciones intracomunitarias). Si hay discrepancias entre el 303 y el 349 → requerimiento automático. El agente debe asegurar coherencia entre ambos modelos.</t>
  </si>
  <si>
    <t>BLOQUE 4 — PREPARACIÓN Y RESUMEN PARA EL USUARIO</t>
  </si>
  <si>
    <t>T04-13</t>
  </si>
  <si>
    <t>VALIDACIÓN</t>
  </si>
  <si>
    <t>Validar coherencia interna del cálculo</t>
  </si>
  <si>
    <t>Todos los cálculos de T04-08 a T04-12</t>
  </si>
  <si>
    <t>Checks de coherencia:
✓ casilla 27 = suma de cuotas devengadas por tipo
✓ casilla 45 = suma de cuotas deducibles por categoría
✓ casilla 46 = casilla 27 - casilla 45
✓ casilla 69 = casilla 66 - casilla 110
✓ Si tipo_resultado='a_ingresar' → casilla 71 = casilla 69
✓ Si tipo_resultado='a_compensar' → casilla 72 ó casilla 110 del próximo trimestre
✓ Bloque informativo (casillas 59-63) coherente con facturas intracomunitarias
✓ Si opera_intracomunitario y tiene entregas → casilla 59 &gt; 0
✓ Total facturas emitidas coherente con libros registro
✓ Ninguna cuota IVA negativa (salvo en casillas de modificación)</t>
  </si>
  <si>
    <t>checks_ok: bool
errores_coherencia: list[str]
alertas: list[str]</t>
  </si>
  <si>
    <t>Si hay errores de coherencia → mostrar al usuario y bloquear la presentación hasta corregirlos. Si hay alertas (no errores) → mostrar al usuario pero permitir continuar.</t>
  </si>
  <si>
    <t>T04-14</t>
  </si>
  <si>
    <t>Presentar resumen del trimestre al usuario para revisión</t>
  </si>
  <si>
    <t>Todos los cálculos validados
perfil_fiscal
periodo declarado</t>
  </si>
  <si>
    <t>Mostrar resumen en lenguaje claro:
'📊 RESUMEN IVA [PERÍODO] [EJERCICIO]
💰 IVA REPERCUTIDO (lo que cobraste a clientes)
· Al 21%: [base] € → [cuota] € de IVA
· Al 10%: [base] € → [cuota] € de IVA  
· Al 4%: [base] € → [cuota] € de IVA
· TOTAL COBRADO: [total_devengado] €
📉 IVA SOPORTADO (lo que pagaste en gastos)
· Gastos del negocio: [base] € → [cuota] € de IVA deducible
· Bienes de inversión: [base] € → [cuota] € de IVA deducible
· TOTAL PAGADO: [total_deducible] €
⚖️ RESULTADO: [total_devengado] - [total_deducible] = [resultado] €
[Compensaciones períodos anteriores: -[a_compensar_previo] €]
✅ RESULTADO FINAL: [resultado_final] €
[A INGRESAR a Hacienda / A COMPENSAR en próximo trimestre / SIN ACTIVIDAD]
📋 Facturas incluidas: [n] emitidas, [n] recibidas
¿Los datos son correctos?'
[CONFIRMAR Y PRESENTAR] [REVISAR DATOS] [CANCELAR]</t>
  </si>
  <si>
    <t>confirmacion_usuario: bool
correcciones: dict|None</t>
  </si>
  <si>
    <t>⚠️ HUMAN-IN-THE-LOOP OBLIGATORIO. Si el resultado es diferente al esperado por el usuario (ej: sale a pagar más de lo previsto) → dar opción de revisar antes de confirmar. El usuario puede haber olvidado incluir facturas de gastos.</t>
  </si>
  <si>
    <t>BLOQUE 5 — PAGO (SI RESULTADO A INGRESAR)</t>
  </si>
  <si>
    <t>T04-15</t>
  </si>
  <si>
    <t>¿El resultado es a ingresar? ¿Cómo pagar?</t>
  </si>
  <si>
    <t>tipo_resultado
importe_a_ingresar
confirmacion_usuario=True</t>
  </si>
  <si>
    <t>IF tipo_resultado != 'a_ingresar' → saltar a T04-18 (presentación sin pago)
IF tipo_resultado = 'a_ingresar':
  Preguntar al usuario:
  '💳 El resultado es [importe] € a ingresar. ¿Cómo quieres pagar?
  · [DOMICILIACIÓN BANCARIA] — el banco carga el importe el día [fecha_limite_domiciliacion]
  · [PAGO CON NRC] — paga ahora en tu banco y obtienes un código NRC para presentar
  · [PAGO CON TARJETA] — paga directamente en la sede AEAT durante la presentación'
Verificar si fecha_actual &lt;= fecha_limite_domiciliacion:
  IF después del día 15 → domiciliación NO disponible, advertir</t>
  </si>
  <si>
    <t>metodo_pago: str ['domiciliacion','nrc','tarjeta']
cuenta_domiciliacion: str|None
nrc: str|None</t>
  </si>
  <si>
    <t>⚠️ Si el usuario elige domiciliación y ya pasó el día 15 → no es posible. Debe obtener NRC o pagar con tarjeta en el momento de presentar.
⚠️ El NRC (Número de Referencia Completo) se obtiene en el banco o por banca online. Es un código de 22 caracteres. El agente debe explicar cómo obtenerlo si el usuario no lo sabe.</t>
  </si>
  <si>
    <t>T04-16</t>
  </si>
  <si>
    <t>RPA</t>
  </si>
  <si>
    <t>Obtener NRC por domiciliación bancaria (si elige domiciliación)</t>
  </si>
  <si>
    <t>metodo_pago='domiciliacion'
cuenta_domiciliacion
importe_a_ingresar</t>
  </si>
  <si>
    <t>IF metodo_pago='domiciliacion':
  La AEAT gestiona la domiciliación directamente al presentar el modelo
  El agente incluye el IBAN en el campo correspondiente del formulario M303
  El cargo se produce el día de vencimiento (día 20 o 30)
  NO se necesita NRC previo para domiciliación
IF metodo_pago='nrc':
  El usuario ya tiene el NRC de su banco
  El agente pide el NRC al usuario (22 caracteres alfanuméricos)
  Validar formato del NRC antes de incorporarlo al formulario
IF metodo_pago='tarjeta':
  El pago se realiza en la propia sede AEAT durante la presentación
  El agente gestiona el flujo de pago en la sede como parte del RPA de presentación</t>
  </si>
  <si>
    <t>nrc: str|None (casilla 71)
iban_domiciliacion: str|None</t>
  </si>
  <si>
    <t>AGENTE+USUARIO</t>
  </si>
  <si>
    <t>El NRC tiene un formato específico: 22 caracteres, generado por la entidad bancaria, vinculado al NIF del declarante, modelo, ejercicio, período e importe. Si el NRC no cuadra con estos datos → error en la presentación AEAT.</t>
  </si>
  <si>
    <t>BLOQUE 6 — AUTENTICACIÓN Y PRESENTACIÓN RPA</t>
  </si>
  <si>
    <t>T04-17</t>
  </si>
  <si>
    <t>Autenticarse en la Sede Electrónica AEAT</t>
  </si>
  <si>
    <t>Modelo autenticación (A: certificado vault / B: Cl@ve PIN)</t>
  </si>
  <si>
    <t>Idéntico a T01-18 del P01.
MODELO A: Recuperar certificado del vault → autenticar con Playwright
MODELO B: Solicitar Cl@ve PIN al usuario → autenticar en ventana de 10 min
Verificar NIF autenticado = perfil.nif</t>
  </si>
  <si>
    <t>sesion_aeat: objeto
sesion_activa: bool
timestamp_sesion: datetime</t>
  </si>
  <si>
    <t>⚠️ Si Modelo B: recordar al usuario que genere el PIN JUSTO ANTES de que el agente vaya a usarlo. No pedirlo con demasiada antelación (caduca en 10 min).</t>
  </si>
  <si>
    <t>T04-18</t>
  </si>
  <si>
    <t>Navegar al formulario Modelo 303 y seleccionar período</t>
  </si>
  <si>
    <t>sesion_aeat activa
ejercicio, periodo</t>
  </si>
  <si>
    <t>Playwright:
1. Ir a 'Impuestos y tasas' → 'IVA' → 'Modelo 303. IVA. Autoliquidación'
2. Seleccionar ejercicio [ejercicio]
3. Seleccionar período [1T/2T/3T/4T]
4. Verificar que el Pre303 está disponible → si sí, cargarlo como base
5. Seleccionar 'Formulario web' (no importar fichero en esta versión)
6. Verificar que el NIF y nombre pre-rellenados coinciden con perfil.nif</t>
  </si>
  <si>
    <t>formulario_abierto: bool
pagina_actual: int (=1)
pre303_cargado: bool</t>
  </si>
  <si>
    <t>⚠️ Alternativa: el agente puede generar un fichero .303 (formato BOE oficial) e importarlo en la sede AEAT en lugar de rellenar casilla a casilla. Esto es más robusto ante cambios de interfaz. Evaluar como opción de implementación.</t>
  </si>
  <si>
    <t>T04-19</t>
  </si>
  <si>
    <t>Rellenar Página 1: Identificación y régimen</t>
  </si>
  <si>
    <t>perfil_fiscal
periodo, ejercicio</t>
  </si>
  <si>
    <t>Playwright form_input:
· NIF: verificar pre-rellenado = perfil.nif
· Nombre/razón social: verificar pre-rellenado
· Ejercicio: [ejercicio]
· Período: [1T/2T/3T/4T]
· Marcar: 'Sujeto pasivo que tributa exclusivamente en régimen general' → SI
· Régimen simplificado → NO (para autónomos en régimen general)
· Si criterio_caja=True → marcar el checkbox correspondiente</t>
  </si>
  <si>
    <t>pagina_1_ok: bool</t>
  </si>
  <si>
    <t>El Pre303 puede pre-rellenar algunos de estos campos. Verificar siempre que los valores son correctos antes de continuar.</t>
  </si>
  <si>
    <t>T04-20</t>
  </si>
  <si>
    <t>Rellenar IVA devengado (Página 2 del formulario)</t>
  </si>
  <si>
    <t>devengado_por_tipo
bloque_isp</t>
  </si>
  <si>
    <t>Playwright form_input por cada tipo:
IVA 0% (si aplica):
  Casilla 150: base_0
  Casilla 151: tipo = 0
  Casilla 152: cuota_0 (= 0)
IVA 4% superreducido (si aplica):
  Casilla 01: base_4
  Casilla 02: tipo = 4
  Casilla 03: cuota_4
IVA 10% reducido (si aplica):
  Casilla 04: base_10
  Casilla 05: tipo = 10
  Casilla 06: cuota_10
IVA 21% general:
  Casilla 07: base_21
  Casilla 08: tipo = 21
  Casilla 09: cuota_21
INVERSIÓN SUJETO PASIVO (si aplica):
  Casilla 12: base_isp
  Casilla 13: cuota_isp
MODIFICACIÓN BASES Y CUOTAS (si hay facturas rectificativas):
  Casilla 14 (base mod.) y 15 (cuota mod.) con signo negativo si reduce
TOTAL DEVENGADO:
  Casilla 27: verificar que pre-calcula = total_devengado calculado en T04-08</t>
  </si>
  <si>
    <t>pagina_devengado_ok: bool
casilla_27_verificada: float</t>
  </si>
  <si>
    <t>⚠️ Solo rellenar las casillas de los tipos de IVA que realmente apliquen. Dejar en blanco (o a cero) los que no apliquen — NO rellenar con cero si no hay operaciones de ese tipo (puede generar avisos AEAT).
⚠️ Verificar que casilla 27 calculada por AEAT = total_devengado del agente. Si difieren → STOP y alerta.</t>
  </si>
  <si>
    <t>T04-21</t>
  </si>
  <si>
    <t>Rellenar IVA deducible (Página 2 continuación)</t>
  </si>
  <si>
    <t>deducible_por_tipo</t>
  </si>
  <si>
    <t>Playwright form_input:
OPERACIONES INTERIORES CORRIENTES (el tipo más habitual):
  Casilla 28: base_corriente
  Casilla 29: cuota_corriente
BIENES DE INVERSIÓN INTERIORES:
  Casilla 30: base_inversion
  Casilla 31: cuota_inversion
IMPORTACIONES CORRIENTES (si compra fuera UE con DUA):
  Casilla 32: base_import
  Casilla 33: cuota_import
IMPORTACIONES BIENES INVERSIÓN:
  Casilla 34: base_import_inv
  Casilla 35: cuota_import_inv
ADQUISICIONES INTRACOMUNITARIAS CORRIENTES:
  Casilla 36: base_intracom
  Casilla 37: cuota_intracom
RECTIFICACIÓN DEDUCCIONES PERÍODOS ANTERIORES:
  Casilla 40: base_rectificacion
  Casilla 41: cuota_rectificacion
OTRAS DEDUCCIONES (prorrata, regularización bienes inversión):
  Casilla 42, 43, 44 según aplique
TOTAL DEDUCIBLE:
  Casilla 45: verificar = total_deducible calculado</t>
  </si>
  <si>
    <t>pagina_deducible_ok: bool
casilla_45_verificada: float</t>
  </si>
  <si>
    <t>⚠️ Verificar que casilla 45 AEAT = total_deducible del agente. Si difieren → STOP.
⚠️ La mayoría de autónomos de servicios solo necesitan casillas 28-29 (corriente interior). Las demás son para casos específicos.</t>
  </si>
  <si>
    <t>T04-22</t>
  </si>
  <si>
    <t>Rellenar resultado y pago (Página 3)</t>
  </si>
  <si>
    <t>resultado_final
tipo_resultado
metodo_pago
nrc (si aplica)
iban_domiciliacion (si aplica)</t>
  </si>
  <si>
    <t>Playwright form_input:
RESULTADO RÉGIMEN GENERAL:
  Casilla 46: resultado_general (puede ser negativo)
RESULTADO ANTES DE COMPENSACIONES:
  Casilla 66: resultado_total
COMPENSACIONES PERÍODOS ANTERIORES:
  Casilla 110: saldo_compensar_previo (positivo aunque resta)
RESULTADO DE LA LIQUIDACIÓN:
  Casilla 69: resultado_final
SEGÚN tipo_resultado:
  SI 'a_ingresar':
    Casilla 71: importe_a_ingresar
    SI metodo_pago='domiciliacion':
      Rellenar IBAN domiciliación + fecha (el día del vencimiento)
    SI metodo_pago='nrc':
      Casilla NRC: nrc (22 caracteres)
    SI metodo_pago='tarjeta':
      Seguir flujo de pago con tarjeta en la sede AEAT
  SI 'a_compensar':
    Casilla 110 del próximo trimestre se actualizará
    Marcar opción 'A compensar' en el formulario
  SI '4T negativo' Y solicita_devolucion=True:
    Casilla 72: importe_devolucion
    Rellenar IBAN para devolución
  SI 'sin_actividad':
    Marcar checkbox 'Sin actividad'</t>
  </si>
  <si>
    <t>pagina_resultado_ok: bool
casilla_71_ok: bool</t>
  </si>
  <si>
    <t>⚠️ En el 4T: si el resultado es negativo el agente DEBE preguntar al usuario si solicita devolución o prefiere compensar. La devolución es preferible si el importe es &gt; 300 € (mejora la liquidez). La compensación es automática pero puede perderse si el año siguiente hay muy poco IVA soportado.</t>
  </si>
  <si>
    <t>T04-23</t>
  </si>
  <si>
    <t>Rellenar bloque informativo (Página 4)</t>
  </si>
  <si>
    <t>bloque_informativo</t>
  </si>
  <si>
    <t>Playwright form_input para casillas informativas:
Casilla 59: entregas_intracomunitarias_exentas
Casilla 60: exportaciones_fuera_ue
Casilla 61: operaciones_no_sujetas_sin_deduccion
Casilla 62: servicios_b2b_prestados_ue (inversión sujeto pasivo en cliente)
Casilla 63: otras_operaciones_exentas
Solo rellenar las que sean &gt; 0. Las que sean 0 → dejar en blanco.</t>
  </si>
  <si>
    <t>pagina_informativo_ok: bool</t>
  </si>
  <si>
    <t>Las casillas informativas son verificadas por la AEAT contra el M349 y otros modelos. Si hay incoherencias → requerimiento. Verificar que casilla 59 coincide con el total de facturas intracomunitarias emitidas del período.</t>
  </si>
  <si>
    <t>T04-24</t>
  </si>
  <si>
    <t>Validar el formulario completo en la AEAT</t>
  </si>
  <si>
    <t>Formulario M303 completado</t>
  </si>
  <si>
    <t>Playwright: clic en 'Validar declaración'
Capturar:
  · Lista de ERRORES (bloquean la presentación → corregir antes de continuar)
  · Lista de AVISOS (no bloquean → mostrar al usuario, puede ignorarlos)
Por cada error:
  1. Identificar casilla afectada
  2. Comparar con cálculo del agente
  3. Corregir si es error de formato
  4. Alertar al usuario si requiere su intervención
  5. Re-validar
Máximo 5 ciclos de corrección antes de escalar al usuario</t>
  </si>
  <si>
    <t>errores_validacion: list
avisos_validacion: list
formulario_valido: bool</t>
  </si>
  <si>
    <t>Avisos comunes de la AEAT que NO bloquean:
· 'Ha dejado la casilla X en blanco' → normal si no aplica
· 'El importe declarado difiere del Pre303' → normal si hay facturas que el Pre303 no conocía
Errores que SÍ bloquean:
· NRC inválido
· Período ya presentado
· Casilla obligatoria vacía</t>
  </si>
  <si>
    <t>T04-25</t>
  </si>
  <si>
    <t>Confirmación final obligatoria del usuario</t>
  </si>
  <si>
    <t>Formulario validado
resumen del trimestre</t>
  </si>
  <si>
    <t>Mostrar al usuario:
'✅ El Modelo 303 [período] [ejercicio] está listo.
Resumen final:
· IVA repercutido: [total_devengado] €
· IVA deducible: [total_deducible] €
· Compensaciones previas: -[saldo_compensar_previo] €
· RESULTADO FINAL: [resultado_final] €
  → [A INGRESAR / A COMPENSAR / SIN ACTIVIDAD / A DEVOLVER]
[Si a ingresar:]
· Forma de pago: [método]
· Fecha de cargo: [fecha]
Facturas declaradas: [n] emitidas · [n] recibidas
Fecha límite: [fecha_limite]
Días restantes: [dias_para_vencimiento]
¿Confirmas la presentación?
[✅ PRESENTAR] [🔍 REVISAR] [❌ CANCELAR]'
Registrar en log: timestamp, IP, user_id, hash del contenido</t>
  </si>
  <si>
    <t>confirmacion_final: bool
timestamp_confirmacion: datetime
log_confirmacion: dict</t>
  </si>
  <si>
    <t>⚠️ HUMAN-IN-THE-LOOP OBLIGATORIO. Si quedan &lt; 2 días para el vencimiento → añadir advertencia urgente en el resumen. Si el vencimiento ya pasó → mostrar el recargo que se aplicará.</t>
  </si>
  <si>
    <t>T04-26</t>
  </si>
  <si>
    <t>Presentar el Modelo 303</t>
  </si>
  <si>
    <t>Formulario validado
confirmacion_final=True
sesion_aeat activa</t>
  </si>
  <si>
    <t>Playwright:
1. Verificar sesión AEAT activa (&lt; 30 min desde autenticación)
   Si expirada → renovar (T04-17) sin perder el formulario
2. Clic 'Presentar declaración' (o 'Firmar y enviar')
3. Gestionar firma:
   Mod.A: firma automática con certificado
   Mod.B: si requiere PIN → solicitar al usuario
4. Si pago con tarjeta → gestionar flujo de pago en sede
5. Esperar confirmación AEAT
6. Capturar: CSV presentación, código NRC (si a ingresar), timestamp oficial</t>
  </si>
  <si>
    <t>presentacion_ok: bool
csv_presentacion: str
nrc_resultado: str|None
timestamp_presentacion: datetime</t>
  </si>
  <si>
    <t>⚠️ Si metodo_pago='tarjeta': el flujo de pago con tarjeta en la sede AEAT puede requerir interacción adicional del usuario (introducir datos de tarjeta). El agente NO debe almacenar ni procesar datos de tarjetas — redirigir al usuario para que complete el pago manualmente en la sede.</t>
  </si>
  <si>
    <t>T04-27</t>
  </si>
  <si>
    <t>Descargar justificante oficial</t>
  </si>
  <si>
    <t>presentacion_ok=True</t>
  </si>
  <si>
    <t>Playwright:
1. Localizar 'Descargar justificante'
2. Descargar PDF oficial
3. Verificar que el PDF contiene:
   · NIF del autónomo
   · Modelo: 303
   · Ejercicio y período
   · Fecha y hora de presentación
   · CSV de presentación
   · Resultado: [a ingresar/a compensar/sin actividad]
   · NRC (si a ingresar con NRC)
4. Extraer y verificar el CSV del PDF = csv_presentacion capturado</t>
  </si>
  <si>
    <t>justificante_pdf: bytes
justificante_valido: bool
csv_en_pdf: str</t>
  </si>
  <si>
    <t>El justificante PDF es la prueba legal. Conservar 4 años mínimo. El CSV es el identificador único de la presentación.</t>
  </si>
  <si>
    <t>BLOQUE 7 — MANEJO DE ERRORES</t>
  </si>
  <si>
    <t>T04-E1</t>
  </si>
  <si>
    <t>ERROR</t>
  </si>
  <si>
    <t>Período ya presentado — intento de presentación duplicada</t>
  </si>
  <si>
    <t>Error en T04-18 o T04-00</t>
  </si>
  <si>
    <t>La AEAT informa de que ya existe un M303 para ese período.
1. Verificar en BD si el agente tiene registro de esa presentación
2. IF sí existe en BD → mostrar el CSV y justificante del presentado anteriormente
3. IF no existe en BD → ALERTA: presentación externa al sistema (el usuario lo presentó manualmente)
4. En ambos casos:
   · NO presentar de nuevo (sería una duplicidad)
   · Si el usuario quiere CORREGIR lo presentado → derivar a P04-R (autoliquidación rectificativa)
   · Si el usuario quiere ver la presentación previa → mostrar el justificante</t>
  </si>
  <si>
    <t>presentacion_existente_csv: str
requiere_rectificativa: bool</t>
  </si>
  <si>
    <t>⚠️ Este error puede ocurrir si el usuario presentó manualmente mientras el agente estaba procesando. El agente debe sincronizar con la AEAT al inicio de cada proceso para detectar presentaciones externas.</t>
  </si>
  <si>
    <t>T04-E2</t>
  </si>
  <si>
    <t>NRC inválido o no correspondiente al importe/período</t>
  </si>
  <si>
    <t>Error en validación AEAT al incluir NRC</t>
  </si>
  <si>
    <t>El NRC es generado por el banco y está vinculado a: NIF + Modelo (303) + Ejercicio + Período + Importe exacto.
Si el NRC falla:
1. Verificar que el NRC tiene 22 caracteres alfanuméricos
2. Verificar que el importe con el que se generó el NRC = importe_a_ingresar
3. Verificar que el NIF, ejercicio y período son los correctos
4. Si el NRC sigue fallando → pedir al usuario que obtenga un nuevo NRC en su banco
5. Alternativa: sugerir cambiar a domiciliación o pago con tarjeta</t>
  </si>
  <si>
    <t>nrc_valido: bool
solucion: str</t>
  </si>
  <si>
    <t>Los NRC tienen una estructura específica verificable. El agente puede validar el formato antes de intentar presentar con él.</t>
  </si>
  <si>
    <t>T04-E3</t>
  </si>
  <si>
    <t>Resultado calculado por el agente ≠ resultado AEAT en el formulario</t>
  </si>
  <si>
    <t>Discrepancia detectada en T04-20 o T04-21</t>
  </si>
  <si>
    <t>Si la AEAT calcula un resultado diferente al del agente:
1. Comparar casilla a casilla (27 vs agente, 45 vs agente)
2. Identificar la casilla que difiere
3. Causas comunes:
   · Redondeo diferente (tolerancia ±0,02 €)
   · El Pre303 incluyó datos que el agente no conocía
   · Una casilla informativa afecta al cálculo
4. Si la diferencia es &gt; 0,02 € → STOP, alertar al usuario, no presentar
5. Mostrar ambos resultados y pedir al usuario que decida</t>
  </si>
  <si>
    <t>discrepancia_detectada: bool
casilla_diferente: str
dif_importe: float</t>
  </si>
  <si>
    <t>⚠️ NUNCA presentar si hay discrepancia significativa no resuelta. Un error en el resultado puede suponer pagar de menos (sanción) o de más (difícil de recuperar sin rectificativa).</t>
  </si>
  <si>
    <t>T04-E4</t>
  </si>
  <si>
    <t>Presentación fuera de plazo</t>
  </si>
  <si>
    <t>Detección en T04-01</t>
  </si>
  <si>
    <t>IF fecha_actual &gt; fecha_limite_presentacion:
1. Calcular días de retraso
2. Calcular recargo por presentación extemporánea:
   · 1-3 meses de retraso: recargo 1% por mes
   · 4-6 meses: recargo 4-6%
   · 7-9 meses: recargo 7-9%
   · 10-12 meses: recargo 10-12%
   · &gt; 12 meses: recargo 20% + intereses de demora (7,75% anual)
3. Informar al usuario: 'El plazo venció el [fecha]. Presentar ahora tiene un recargo estimado de [%] ([importe] €). ¿Deseas continuar?'
4. Si confirma → continuar con la presentación (el recargo lo aplica la AEAT automáticamente)
5. Registrar en log que se presentó fuera de plazo con conocimiento del usuario</t>
  </si>
  <si>
    <t>dias_retraso: int
recargo_estimado: float
presentacion_fuera_plazo: bool</t>
  </si>
  <si>
    <t>⚠️ Presentar fuera de plazo VOLUNTARIAMENTE (sin requerimiento previo) es siempre mejor que esperar a que la AEAT lo reclame: el recargo extemporáneo es mucho menor que la sanción por requerimiento (mínimo 50% de la cuota).</t>
  </si>
  <si>
    <t>BLOQUE 8 — POST-PROCESO Y ACTIVACIÓN DE SIGUIENTES PASOS</t>
  </si>
  <si>
    <t>T04-28</t>
  </si>
  <si>
    <t>STORE</t>
  </si>
  <si>
    <t>Almacenar presentación y actualizar BD</t>
  </si>
  <si>
    <t>csv_presentacion
justificante_pdf
timestamp_presentacion
resultado_final
tipo_resultado</t>
  </si>
  <si>
    <t>Insertar/actualizar en BD:
Tabla PRESENTACIONES:
  {user_id, proceso='P04', modelo='303',
   ejercicio, periodo,
   csv=csv_presentacion,
   fecha=timestamp_presentacion,
   resultado=resultado_final,
   tipo_resultado,
   justificante_path,
   log_confirmacion_usuario}
Tabla ESTADO_PROCESOS:
  P04='COMPLETADO' (o P05/P06/P07 según trimestre)
Tabla LIBROS_REGISTRO (actualizar):
  Marcar facturas del período como 'declaradas en 303'
Si tipo_resultado='a_compensar':
  Actualizar saldo_compensar: {importe: abs(resultado_final), origen_periodo: periodo}
Si tipo_resultado='a_ingresar':
  Actualizar saldo_compensar: {importe: 0}</t>
  </si>
  <si>
    <t>presentacion_guardada: bool
bd_actualizada: bool</t>
  </si>
  <si>
    <t>⚠️ Actualizar el saldo a compensar en BD es crítico. Si no se actualiza, el siguiente trimestre no incluirá la compensación correcta y el resultado será incorrecto.</t>
  </si>
  <si>
    <t>T04-29</t>
  </si>
  <si>
    <t>Actualizar previsión de saldo a compensar para próximo trimestre</t>
  </si>
  <si>
    <t>resultado_final
tipo_resultado
saldo_compensar_previo</t>
  </si>
  <si>
    <t>Actualizar en BD el saldo disponible para el próximo trimestre:
IF tipo_resultado='a_compensar':
  nuevo_saldo = saldo_compensar_previo + abs(resultado_final)
IF tipo_resultado='a_ingresar':
  nuevo_saldo = 0 (se agotó con el resultado positivo)
IF tipo_resultado='sin_actividad':
  nuevo_saldo = saldo_compensar_previo (sin cambios)
IF tipo_resultado='devolucion':
  nuevo_saldo = 0 (se solicita devolución, no compensación)
Guardar en BD: {user_id, saldo_iva_compensar: nuevo_saldo, actualizado_en: fecha}</t>
  </si>
  <si>
    <t>saldo_iva_compensar_actualizado: float</t>
  </si>
  <si>
    <t>Este dato es el que alimenta la casilla 110 del próximo modelo 303. Es esencial que esté correcto.</t>
  </si>
  <si>
    <t>T04-30</t>
  </si>
  <si>
    <t>NOTIF</t>
  </si>
  <si>
    <t>Notificar al usuario: IVA trimestral presentado</t>
  </si>
  <si>
    <t>Todo lo anterior</t>
  </si>
  <si>
    <t>Enviar notificación (email + push + WhatsApp si disponible):
'✅ IVA [período] [ejercicio] presentado
📄 Justificante:
· CSV: [csv]
· Fecha: [timestamp]
[Enlace descarga justificante]
💰 Resultado:
· [A INGRESAR [importe] € — cargo el [fecha] en [cuenta]] ó
· [A COMPENSAR [importe] € — incluido en el próximo trimestre] ó
· [SIN ACTIVIDAD presentado correctamente] ó
· [DEVOLUCIÓN SOLICITADA [importe] € — plazo: 6 meses]
📅 Próxima obligación:
· IVA [próximo trimestre]: antes del [fecha_limite_siguiente]
· IRPF [período]: antes del [fecha_limite_130] (si no se ha presentado ya)'
Si no se ha presentado el M130 del mismo período → añadir recordatorio urgente</t>
  </si>
  <si>
    <t>notificacion_enviada: bool</t>
  </si>
  <si>
    <t>⚠️ El M303 y el M130 tienen el mismo plazo de presentación. Si el agente ha presentado el M303 pero el M130 está pendiente → lanzar inmediatamente el proceso P09 (pago fraccionado IRPF) o recordar al usuario con urgencia.</t>
  </si>
  <si>
    <t>T04-31</t>
  </si>
  <si>
    <t>Programar alerta para el siguiente trimestre</t>
  </si>
  <si>
    <t>ejercicio, periodo
fecha_limite_presentacion</t>
  </si>
  <si>
    <t>Calcular el próximo vencimiento IVA:
  Si periodo='1T' → próximo: 2T, vence 20-jul
  Si periodo='2T' → próximo: 3T, vence 20-oct
  Si periodo='3T' → próximo: 4T, vence 30-ene (año siguiente) [TAMBIÉN preparar M390]
  Si periodo='4T' → próximo: 1T año siguiente, vence 20-abr
Programar alerta en BD:
  {proceso: P05/P06/P07/P04, fecha_alerta: vencimiento - 15 días, estado: 'PENDIENTE'}
Si periodo='3T': añadir también alerta para M390 (30 enero) y M100 (apertura campaña Renta)</t>
  </si>
  <si>
    <t>alerta_proximo_trimestre: dict
alertas_adicionales: list</t>
  </si>
  <si>
    <t>Si el período presentado es el 4T: además del siguiente 1T, programar alerta para M390 (resumen anual IVA, mismo plazo 30 enero) y coordinar con el proceso P08.</t>
  </si>
  <si>
    <t>P04 — CATÁLOGO DE INPUTS: Casillas del Modelo 303 + Tabla de Deducibilidad del IVA</t>
  </si>
  <si>
    <t>CASILLAS DEL MODELO 303 — RÉGIMEN GENERAL</t>
  </si>
  <si>
    <t>CASILLA</t>
  </si>
  <si>
    <t>NOMBRE</t>
  </si>
  <si>
    <t>OBLIG.</t>
  </si>
  <si>
    <t>QUÉ SE DECLARA</t>
  </si>
  <si>
    <t>ORIGEN DEL DATO</t>
  </si>
  <si>
    <t>FÓRMULA / CÁLCULO</t>
  </si>
  <si>
    <t>BLOQUE</t>
  </si>
  <si>
    <t>NOTAS</t>
  </si>
  <si>
    <t>—</t>
  </si>
  <si>
    <t>NIF declarante</t>
  </si>
  <si>
    <t>AUTO</t>
  </si>
  <si>
    <t>NIF del autónomo (pre-rellenado por AEAT al autenticarse)</t>
  </si>
  <si>
    <t>Perfil (auto)</t>
  </si>
  <si>
    <t>str(9)</t>
  </si>
  <si>
    <t>perfil.nif</t>
  </si>
  <si>
    <t>Identificación</t>
  </si>
  <si>
    <t>⚠️ Verificar que coincide con el certificado</t>
  </si>
  <si>
    <t>Ejercicio</t>
  </si>
  <si>
    <t>Año del trimestre declarado (ej: 2026)</t>
  </si>
  <si>
    <t>Agente (año de fecha_fin_periodo)</t>
  </si>
  <si>
    <t>int(4)</t>
  </si>
  <si>
    <t>year(fecha_fin_periodo)</t>
  </si>
  <si>
    <t>Período</t>
  </si>
  <si>
    <t>1T / 2T / 3T / 4T</t>
  </si>
  <si>
    <t>Agente</t>
  </si>
  <si>
    <t>enum</t>
  </si>
  <si>
    <t>Calculado en T04-01</t>
  </si>
  <si>
    <t>150</t>
  </si>
  <si>
    <t>Base imp. tipo 0%</t>
  </si>
  <si>
    <t>COND</t>
  </si>
  <si>
    <t>Base imponible de ventas/servicios al tipo 0%</t>
  </si>
  <si>
    <t>Σ facturas emitidas tipo_iva=0</t>
  </si>
  <si>
    <t>float</t>
  </si>
  <si>
    <t>Σ base_imponible IF tipo_iva=0</t>
  </si>
  <si>
    <t>IVA Devengado</t>
  </si>
  <si>
    <t>Solo si hay operaciones al 0%</t>
  </si>
  <si>
    <t>151</t>
  </si>
  <si>
    <t>Tipo 0%</t>
  </si>
  <si>
    <t>Literal '0'</t>
  </si>
  <si>
    <t>Agente (fijo)</t>
  </si>
  <si>
    <t>int</t>
  </si>
  <si>
    <t>152</t>
  </si>
  <si>
    <t>Cuota 0%</t>
  </si>
  <si>
    <t>Cuota de IVA al 0% (siempre 0 €)</t>
  </si>
  <si>
    <t>Agente (calculado)</t>
  </si>
  <si>
    <t>base_0 × 0 = 0</t>
  </si>
  <si>
    <t>01</t>
  </si>
  <si>
    <t>Base imp. tipo 4%</t>
  </si>
  <si>
    <t>Base imponible de ventas/servicios al tipo superreducido (4%)</t>
  </si>
  <si>
    <t>Σ facturas emitidas tipo_iva=4</t>
  </si>
  <si>
    <t>Σ base_imponible IF tipo_iva=4</t>
  </si>
  <si>
    <t>Alimentación básica, libros, medicamentos, prótesis</t>
  </si>
  <si>
    <t>02</t>
  </si>
  <si>
    <t>Tipo 4%</t>
  </si>
  <si>
    <t>Literal '4'</t>
  </si>
  <si>
    <t>03</t>
  </si>
  <si>
    <t>Cuota 4%</t>
  </si>
  <si>
    <t>Cuota IVA al 4%</t>
  </si>
  <si>
    <t>base_4 × 0.04</t>
  </si>
  <si>
    <t>Verificar: cuota = base × tipo / 100</t>
  </si>
  <si>
    <t>04</t>
  </si>
  <si>
    <t>Base imp. tipo 10%</t>
  </si>
  <si>
    <t>Base imponible de ventas/servicios al tipo reducido (10%)</t>
  </si>
  <si>
    <t>Σ facturas emitidas tipo_iva=10</t>
  </si>
  <si>
    <t>Σ base_imponible IF tipo_iva=10</t>
  </si>
  <si>
    <t>Hostelería, transporte pasajeros, obra renovación vivienda</t>
  </si>
  <si>
    <t>05</t>
  </si>
  <si>
    <t>Tipo 10%</t>
  </si>
  <si>
    <t>Literal '10'</t>
  </si>
  <si>
    <t>06</t>
  </si>
  <si>
    <t>Cuota 10%</t>
  </si>
  <si>
    <t>Cuota IVA al 10%</t>
  </si>
  <si>
    <t>base_10 × 0.10</t>
  </si>
  <si>
    <t>07</t>
  </si>
  <si>
    <t>Base imp. tipo 21%</t>
  </si>
  <si>
    <t>SÍ*</t>
  </si>
  <si>
    <t>Base imponible de ventas/servicios al tipo general (21%)</t>
  </si>
  <si>
    <t>Σ facturas emitidas tipo_iva=21</t>
  </si>
  <si>
    <t>Σ base_imponible IF tipo_iva=21</t>
  </si>
  <si>
    <t>*La más habitual. 0 si sin actividad o tipos diferentes</t>
  </si>
  <si>
    <t>08</t>
  </si>
  <si>
    <t>Tipo 21%</t>
  </si>
  <si>
    <t>Literal '21'</t>
  </si>
  <si>
    <t>09</t>
  </si>
  <si>
    <t>Cuota 21%</t>
  </si>
  <si>
    <t>Cuota IVA al 21%</t>
  </si>
  <si>
    <t>base_21 × 0.21</t>
  </si>
  <si>
    <t>⚠️ Verificar: cuota = base × 0.21 ±0.02 € por redondeos</t>
  </si>
  <si>
    <t>10</t>
  </si>
  <si>
    <t>Base ISP</t>
  </si>
  <si>
    <t>Base imponible de adquisiciones intracom. con inversión sujeto pasivo (compras UE)</t>
  </si>
  <si>
    <t>Σ facturas recibidas de proveedores UE sin NIF español</t>
  </si>
  <si>
    <t>Σ base IF proveedor_ue=True AND no_nif_español=True</t>
  </si>
  <si>
    <t>Google, Meta, AWS sin NIF español. Muy común.</t>
  </si>
  <si>
    <t>11</t>
  </si>
  <si>
    <t>Cuota ISP devengada</t>
  </si>
  <si>
    <t>Cuota IVA de ISP (el autónomo autoliquida el IVA de la compra UE)</t>
  </si>
  <si>
    <t>base_isp × 0.21</t>
  </si>
  <si>
    <t>Esta cuota también va en el deducible si el gasto es profesional</t>
  </si>
  <si>
    <t>12</t>
  </si>
  <si>
    <t>Base mod. bases/cuotas devengadas</t>
  </si>
  <si>
    <t>Base de facturas rectificativas emitidas (positivo si aumenta, negativo si reduce)</t>
  </si>
  <si>
    <t>Facturas rectificativas emitidas</t>
  </si>
  <si>
    <t>Σ base de facturas rectificativas</t>
  </si>
  <si>
    <t>Solo si hay facturas rectificativas en el período</t>
  </si>
  <si>
    <t>13</t>
  </si>
  <si>
    <t>Cuota mod. bases/cuotas devengadas</t>
  </si>
  <si>
    <t>Cuota de facturas rectificativas emitidas</t>
  </si>
  <si>
    <t>Σ cuota de facturas rectificativas</t>
  </si>
  <si>
    <t>Con signo negativo si reduce la base</t>
  </si>
  <si>
    <t>27</t>
  </si>
  <si>
    <t>TOTAL IVA DEVENGADO</t>
  </si>
  <si>
    <t>Suma de todas las cuotas de IVA repercutidas</t>
  </si>
  <si>
    <t>Σ casillas 152+03+06+09+11+13+otras cuotas devengadas</t>
  </si>
  <si>
    <t>⚠️ Verificar que AEAT calcula lo mismo que el agente</t>
  </si>
  <si>
    <t>28</t>
  </si>
  <si>
    <t>Base ded. op. interiores corrientes</t>
  </si>
  <si>
    <t>Base imponible de facturas de gastos corrientes deducibles</t>
  </si>
  <si>
    <t>Σ facturas recibidas gastos corrientes deducibles</t>
  </si>
  <si>
    <t>Σ base IF tipo_gasto='corriente' AND porcentaje_deduccion&gt;0</t>
  </si>
  <si>
    <t>IVA Deducible</t>
  </si>
  <si>
    <t>*La casilla más común para autónomos de servicios</t>
  </si>
  <si>
    <t>29</t>
  </si>
  <si>
    <t>Cuota ded. op. interiores corrientes</t>
  </si>
  <si>
    <t>Cuota de IVA deducible de gastos corrientes</t>
  </si>
  <si>
    <t>Σ cuota × porcentaje_deduccion/100 IF tipo_gasto='corriente'</t>
  </si>
  <si>
    <t>⚠️ Solo la parte deducible según porcentaje. Ej: vehículo 50% → solo 50% de la cuota</t>
  </si>
  <si>
    <t>30</t>
  </si>
  <si>
    <t>Base ded. bienes inversión interiores</t>
  </si>
  <si>
    <t>Base de bienes de inversión (&gt;3.005,06 €, duración &gt;1 año)</t>
  </si>
  <si>
    <t>Σ facturas bienes de inversión</t>
  </si>
  <si>
    <t>Σ base IF tipo_gasto='inversion' AND valor&gt;3005.06</t>
  </si>
  <si>
    <t>Equipos &gt;3.005€, maquinaria, vehículos profesionales exclusivos</t>
  </si>
  <si>
    <t>31</t>
  </si>
  <si>
    <t>Cuota ded. bienes inversión interiores</t>
  </si>
  <si>
    <t>Cuota de IVA deducible de bienes de inversión</t>
  </si>
  <si>
    <t>Σ cuota × porcentaje_deduccion/100 IF tipo_gasto='inversion'</t>
  </si>
  <si>
    <t>El IVA de bienes de inversión puede regularizarse hasta 4 años (inmuebles: 10 años)</t>
  </si>
  <si>
    <t>32</t>
  </si>
  <si>
    <t>Base imp. importaciones corrientes</t>
  </si>
  <si>
    <t>Base de importaciones de bienes de fuera de la UE (con DUA)</t>
  </si>
  <si>
    <t>Σ facturas importaciones</t>
  </si>
  <si>
    <t>Σ base IF origen='extra_ue' AND tipo_gasto='corriente'</t>
  </si>
  <si>
    <t>Requiere documento DUA de aduanas como justificante</t>
  </si>
  <si>
    <t>33</t>
  </si>
  <si>
    <t>Cuota ded. importaciones corrientes</t>
  </si>
  <si>
    <t>Cuota IVA deducible de importaciones corrientes</t>
  </si>
  <si>
    <t>Σ cuota importaciones × porcentaje_deduccion/100</t>
  </si>
  <si>
    <t>34</t>
  </si>
  <si>
    <t>Base ded. adquis. intracom. corrientes</t>
  </si>
  <si>
    <t>Base de adquisiciones de bienes/servicios de UE corrientes</t>
  </si>
  <si>
    <t>Σ facturas proveedores UE corrientes</t>
  </si>
  <si>
    <t>Σ base IF origen='intra_ue' AND tipo_gasto='corriente'</t>
  </si>
  <si>
    <t>Incluye ISP de servicios UE si el gasto es deducible</t>
  </si>
  <si>
    <t>35</t>
  </si>
  <si>
    <t>Cuota ded. adquis. intracom. corrientes</t>
  </si>
  <si>
    <t>Cuota deducible de adquisiciones intracomunitarias corrientes</t>
  </si>
  <si>
    <t>Σ cuota × porcentaje_deduccion/100 IF origen='intra_ue'</t>
  </si>
  <si>
    <t>36</t>
  </si>
  <si>
    <t>Base ded. adquis. intracom. inversión</t>
  </si>
  <si>
    <t>Base de adquisiciones intracomunitarias de bienes de inversión</t>
  </si>
  <si>
    <t>Σ facturas UE de inversión</t>
  </si>
  <si>
    <t>Σ base IF origen='intra_ue' AND tipo_gasto='inversion'</t>
  </si>
  <si>
    <t>37</t>
  </si>
  <si>
    <t>Cuota ded. adquis. intracom. inversión</t>
  </si>
  <si>
    <t>Cuota deducible de bienes de inversión intracomunitarios</t>
  </si>
  <si>
    <t>Σ cuota × % IF origen='intra_ue' AND tipo_gasto='inversion'</t>
  </si>
  <si>
    <t>40</t>
  </si>
  <si>
    <t>Base rectif. deducciones períodos ant.</t>
  </si>
  <si>
    <t>Base de facturas de gastos de trimestres anteriores no deducidas en su momento (hasta 4 años)</t>
  </si>
  <si>
    <t>Usuario (informa de facturas olvidadas)</t>
  </si>
  <si>
    <t>Σ base facturas antiguas pendientes de deducir</t>
  </si>
  <si>
    <t>Muy útil: el autónomo puede recuperar IVA de gastos olvidados de hasta 4 años atrás</t>
  </si>
  <si>
    <t>41</t>
  </si>
  <si>
    <t>Cuota rectif. deducciones períodos ant.</t>
  </si>
  <si>
    <t>Cuota deducible de gastos de períodos anteriores olvidados</t>
  </si>
  <si>
    <t>Σ cuota × % de facturas antiguas</t>
  </si>
  <si>
    <t>⚠️ Máximo 4 años desde la fecha de la factura</t>
  </si>
  <si>
    <t>43</t>
  </si>
  <si>
    <t>Regularización bienes de inversión</t>
  </si>
  <si>
    <t>Ajuste por cambio de uso de bienes de inversión (de profesional a personal o viceversa)</t>
  </si>
  <si>
    <t>Usuario (informa el cambio)</t>
  </si>
  <si>
    <t>Según cálculo de prorrata y años restantes</t>
  </si>
  <si>
    <t>Solo si hay cambio de afectación de un bien de inversión</t>
  </si>
  <si>
    <t>44</t>
  </si>
  <si>
    <t>Regularización % definitivo prorrata</t>
  </si>
  <si>
    <t>Ajuste por diferencia entre % provisional y definitivo de prorrata (solo en 4T)</t>
  </si>
  <si>
    <t>Agente (solo 4T)</t>
  </si>
  <si>
    <t>(% definitivo - % provisional) × total IVA soportado del año</t>
  </si>
  <si>
    <t>Solo para autónomos con actividades mixtas (exentas + sujetas)</t>
  </si>
  <si>
    <t>45</t>
  </si>
  <si>
    <t>TOTAL IVA DEDUCIBLE</t>
  </si>
  <si>
    <t>Suma de todo el IVA soportado deducible</t>
  </si>
  <si>
    <t>Σ casillas 29+31+33+35+37+39+41+42+43+44</t>
  </si>
  <si>
    <t>46</t>
  </si>
  <si>
    <t>Resultado régimen general</t>
  </si>
  <si>
    <t>Diferencia entre IVA devengado y deducible</t>
  </si>
  <si>
    <t>casilla 27 - casilla 45</t>
  </si>
  <si>
    <t>Resultado</t>
  </si>
  <si>
    <t>Puede ser negativo (más deducible que devengado)</t>
  </si>
  <si>
    <t>66</t>
  </si>
  <si>
    <t>Resultado total</t>
  </si>
  <si>
    <t>Suma de resultados de todos los regímenes (general + simplificado si aplica)</t>
  </si>
  <si>
    <t>casilla 46 + casillas régimen simplificado (si aplica)</t>
  </si>
  <si>
    <t>Para autónomos solo en régimen general: casilla 66 = casilla 46</t>
  </si>
  <si>
    <t>110</t>
  </si>
  <si>
    <t>Cuotas a compensar períodos ant.</t>
  </si>
  <si>
    <t>Saldo negativo de trimestres anteriores que se descuenta del resultado actual</t>
  </si>
  <si>
    <t>BD: saldo_iva_compensar</t>
  </si>
  <si>
    <t>saldo_iva_compensar de BD (actualizado tras cada trimestre)</t>
  </si>
  <si>
    <t>⚠️ Si se olvida este campo → el autónomo paga de más</t>
  </si>
  <si>
    <t>69</t>
  </si>
  <si>
    <t>Resultado de la liquidación</t>
  </si>
  <si>
    <t>Resultado final tras compensaciones</t>
  </si>
  <si>
    <t>casilla 66 - casilla 110</t>
  </si>
  <si>
    <t>Si &gt; 0: a ingresar. Si &lt; 0: a compensar o devolver.</t>
  </si>
  <si>
    <t>71</t>
  </si>
  <si>
    <t>Importe a ingresar</t>
  </si>
  <si>
    <t>Importe a ingresar en Hacienda (si casilla 69 &gt; 0)</t>
  </si>
  <si>
    <t>casilla 69 si casilla_69 &gt; 0</t>
  </si>
  <si>
    <t>casilla 69 cuando positivo</t>
  </si>
  <si>
    <t>72</t>
  </si>
  <si>
    <t>Importe a devolver</t>
  </si>
  <si>
    <t>Importe que solicita que le devuelvan (solo 4T y si casilla 69 &lt; 0)</t>
  </si>
  <si>
    <t>Usuario (decisión en D12)</t>
  </si>
  <si>
    <t>abs(casilla 69) si 4T y solicita_devolucion=True</t>
  </si>
  <si>
    <t>Plazo devolución AEAT: máximo 6 meses</t>
  </si>
  <si>
    <t>59</t>
  </si>
  <si>
    <t>Entregas intracom. exentas</t>
  </si>
  <si>
    <t>Base de ventas a empresas UE con NIF-IVA válido (IVA 0%)</t>
  </si>
  <si>
    <t>Σ facturas emitidas a clientes UE</t>
  </si>
  <si>
    <t>Σ base IF cliente_ue=True AND nif_iva_cliente_valido=True</t>
  </si>
  <si>
    <t>Informativa</t>
  </si>
  <si>
    <t>Debe cuadrar con M349. AEAT cruza datos.</t>
  </si>
  <si>
    <t>60</t>
  </si>
  <si>
    <t>Exportaciones</t>
  </si>
  <si>
    <t>Base de ventas fuera de la UE (exentas de IVA)</t>
  </si>
  <si>
    <t>Σ facturas emitidas a clientes fuera UE</t>
  </si>
  <si>
    <t>Σ base IF cliente_fuera_ue=True</t>
  </si>
  <si>
    <t>61</t>
  </si>
  <si>
    <t>Ops. no sujetas / exentas sin ded.</t>
  </si>
  <si>
    <t>Base de ops. exentas sin derecho a deducción (si actividad mixta)</t>
  </si>
  <si>
    <t>Σ facturas actividad exenta</t>
  </si>
  <si>
    <t>Σ base facturas exentas de la actividad exenta</t>
  </si>
  <si>
    <t>Solo si tiene actividades mixtas (D04 con exención parcial)</t>
  </si>
  <si>
    <t>62</t>
  </si>
  <si>
    <t>Servicios B2B prestados a UE</t>
  </si>
  <si>
    <t>Base de servicios prestados a empresas UE (inversión sujeto pasivo en el cliente)</t>
  </si>
  <si>
    <t>Σ facturas B2B servicios a UE</t>
  </si>
  <si>
    <t>Σ base IF cliente_ue=True AND servicio=True AND cliente_empresario=True</t>
  </si>
  <si>
    <t>El cliente UE autoliquida el IVA en su país. El autónomo factura sin IVA.</t>
  </si>
  <si>
    <t>108</t>
  </si>
  <si>
    <t>Rectificativa — discrepancia criterio adm.</t>
  </si>
  <si>
    <t>Marcar si la rectificativa es por discrepancia con criterio AEAT</t>
  </si>
  <si>
    <t>Agente (P04-R)</t>
  </si>
  <si>
    <t>bool</t>
  </si>
  <si>
    <t>Solo en autoliquidaciones rectificativas (P04-R)</t>
  </si>
  <si>
    <t>Rectificativa</t>
  </si>
  <si>
    <t>Nueva casilla desde Ley 13/2023</t>
  </si>
  <si>
    <t>TABLA DE DEDUCIBILIDAD DEL IVA SOPORTADO (para T04-06)</t>
  </si>
  <si>
    <t>CATEGORÍA DE GASTO</t>
  </si>
  <si>
    <t>EJEMPLOS</t>
  </si>
  <si>
    <t>% IVA DED.</t>
  </si>
  <si>
    <t>% IRPF DED.</t>
  </si>
  <si>
    <t>CONDICIONES</t>
  </si>
  <si>
    <t>REQUIERE CONFIRM.</t>
  </si>
  <si>
    <t>FUENTE</t>
  </si>
  <si>
    <t>Software / SaaS / Hosting</t>
  </si>
  <si>
    <t>Adobe, Google Workspace, Slack, GitHub, Shopify, dominios, servidores</t>
  </si>
  <si>
    <t>100%</t>
  </si>
  <si>
    <t>Uso exclusivamente profesional</t>
  </si>
  <si>
    <t>NO</t>
  </si>
  <si>
    <t>Art. 95 LIVA</t>
  </si>
  <si>
    <t>Material de oficina</t>
  </si>
  <si>
    <t>Papel, tóner, bolígrafos, cuadernos</t>
  </si>
  <si>
    <t>Afecto a la actividad</t>
  </si>
  <si>
    <t>Servicios profesionales contratados</t>
  </si>
  <si>
    <t>Gestoría, abogado, diseñador, fotógrafo, consultor</t>
  </si>
  <si>
    <t>Relacionado con la actividad. Con retención si corresponde.</t>
  </si>
  <si>
    <t>Equipos informáticos — uso exclusivo profesional</t>
  </si>
  <si>
    <t>Ordenador, monitor, tablet de trabajo, impresora</t>
  </si>
  <si>
    <t>Uso exclusivo profesional. Si &lt; 3.005,06 €: gasto corriente. Si ≥ 3.005,06 €: bien de inversión.</t>
  </si>
  <si>
    <t>Teléfono móvil — uso mixto</t>
  </si>
  <si>
    <t>Smartphone personal + laboral</t>
  </si>
  <si>
    <t>50%</t>
  </si>
  <si>
    <t>Hacienda presume uso mixto 50/50 salvo justificación de uso exclusivo profesional</t>
  </si>
  <si>
    <t>SÍ (confirmar % uso)</t>
  </si>
  <si>
    <t>Criterio AEAT</t>
  </si>
  <si>
    <t>Alquiler local actividad</t>
  </si>
  <si>
    <t>Oficina, taller, local comercial alquilado</t>
  </si>
  <si>
    <t>Contrato arrendamiento + retención 19% en factura arrendador</t>
  </si>
  <si>
    <t>Suministros local actividad (luz, agua, internet)</t>
  </si>
  <si>
    <t>Facturas del local de negocio</t>
  </si>
  <si>
    <t>Las del local de negocio al 100%. Las del domicilio particular: proporcional.</t>
  </si>
  <si>
    <t>Suministros domicilio (trabajador desde casa)</t>
  </si>
  <si>
    <t>Luz, agua, internet si trabaja desde casa</t>
  </si>
  <si>
    <t>% proporcional (m² despacho / m² total vivienda)</t>
  </si>
  <si>
    <t>30% de la parte proporcional</t>
  </si>
  <si>
    <t>Fórmula IRPF: % m² × 30%. IVA: mismo % proporcional.</t>
  </si>
  <si>
    <t>SÍ (informar m²)</t>
  </si>
  <si>
    <t>Art. 30 LIRPF / DGT V2439-18</t>
  </si>
  <si>
    <t>Formación relacionada con actividad</t>
  </si>
  <si>
    <t>Cursos, libros, congresos del sector</t>
  </si>
  <si>
    <t>Debe tener relación con la actividad profesional declarada</t>
  </si>
  <si>
    <t>SÍ (confirmar relación)</t>
  </si>
  <si>
    <t>Publicidad y marketing</t>
  </si>
  <si>
    <t>Anuncios Google/Meta Ads, diseño web, folletos, banners</t>
  </si>
  <si>
    <t>Relacionado con la actividad</t>
  </si>
  <si>
    <t>Vehículo — autónomo estándar</t>
  </si>
  <si>
    <t>Coche particular + trabajo</t>
  </si>
  <si>
    <t>0%</t>
  </si>
  <si>
    <t>Hacienda presume uso mixto 50% IVA. IRPF: 0% salvo transportistas/agentes.</t>
  </si>
  <si>
    <t>SÍ (confirmar uso)</t>
  </si>
  <si>
    <t>Art. 95.3 LIVA / Art. 29 LIRPF</t>
  </si>
  <si>
    <t>Vehículo — transportista/agente comercial</t>
  </si>
  <si>
    <t>Furgoneta de reparto, taxi, VTC, agente comercial con coche</t>
  </si>
  <si>
    <t>Solo si el vehículo es NECESARIO para la actividad y uso exclusivo profesional</t>
  </si>
  <si>
    <t>SÍ (confirmar actividad)</t>
  </si>
  <si>
    <t>Art. 95.3 LIVA excepción</t>
  </si>
  <si>
    <t>Gasolina / combustible vehículo</t>
  </si>
  <si>
    <t>Repostajes</t>
  </si>
  <si>
    <t>50% (si vehículo 50%) / 100% (si vehículo 100%)</t>
  </si>
  <si>
    <t>0% / 100%</t>
  </si>
  <si>
    <t>Depende de la deducibilidad del vehículo al que está vinculado</t>
  </si>
  <si>
    <t>NO (automático)</t>
  </si>
  <si>
    <t>Proporcional al vehículo</t>
  </si>
  <si>
    <t>Comidas en restaurante — profesionales</t>
  </si>
  <si>
    <t>Comida con cliente/proveedor documentada</t>
  </si>
  <si>
    <t>Posible 100% IVA</t>
  </si>
  <si>
    <t>50% IRPF (hasta 1% ventas)</t>
  </si>
  <si>
    <t>IRPF: límite 50% con tope 1% volumen operaciones. IVA: debe ser estrictamente profesional, en día laborable, con anotación de los comensales.</t>
  </si>
  <si>
    <t>SÍ — confirmar uso prof.</t>
  </si>
  <si>
    <t>Art. 96.2 LIVA / AEAT</t>
  </si>
  <si>
    <t>Ropa — uso profesional (EPI / uniformes)</t>
  </si>
  <si>
    <t>Ropa de seguridad, uniforme con logo empresa</t>
  </si>
  <si>
    <t>Debe ser ropa de seguridad obligatoria o llevar logo de la empresa. Un traje para reuniones NO es deducible.</t>
  </si>
  <si>
    <t>SÍ</t>
  </si>
  <si>
    <t>Art. 95 LIVA / Criterio AEAT</t>
  </si>
  <si>
    <t>Ropa — uso personal</t>
  </si>
  <si>
    <t>Ropa civil sin logo empresarial</t>
  </si>
  <si>
    <t>No deducible aunque se use para trabajar (criterio AEAT reiterado)</t>
  </si>
  <si>
    <t>Criterio AEAT DGT</t>
  </si>
  <si>
    <t>Gastos de representación</t>
  </si>
  <si>
    <t>Regalos a clientes, eventos, detalles</t>
  </si>
  <si>
    <t>Límite 1% volumen operaciones</t>
  </si>
  <si>
    <t>IRPF: límite 1% volumen operaciones. IVA: estrictamente relacionado con la actividad.</t>
  </si>
  <si>
    <t>Art. 96.2 LIVA</t>
  </si>
  <si>
    <t>Seguro de responsabilidad civil profesional</t>
  </si>
  <si>
    <t>Seguro específico de la actividad</t>
  </si>
  <si>
    <t>Alimentación personal — supermercado</t>
  </si>
  <si>
    <t>Compras de supermercado para uso personal</t>
  </si>
  <si>
    <t>No deducible en ningún caso</t>
  </si>
  <si>
    <t>Multas y sanciones</t>
  </si>
  <si>
    <t>Multas de tráfico, sanciones AEAT</t>
  </si>
  <si>
    <t>No deducibles por ley</t>
  </si>
  <si>
    <t>Art. 14 LIRPF</t>
  </si>
  <si>
    <t>Cuota RETA (Seguridad Social)</t>
  </si>
  <si>
    <t>Cuota mensual autónomos</t>
  </si>
  <si>
    <t>SIN IVA</t>
  </si>
  <si>
    <t>La cuota RETA no lleva IVA. Es deducible al 100% en IRPF (se refleja en M130, no en M303).</t>
  </si>
  <si>
    <t>Art. 30 LIRPF</t>
  </si>
  <si>
    <t>Intereses de préstamos profesionales</t>
  </si>
  <si>
    <t>Intereses de préstamo para financiar la actividad</t>
  </si>
  <si>
    <t>EXENTO IVA</t>
  </si>
  <si>
    <t>Según financiación</t>
  </si>
  <si>
    <t>Los intereses bancarios no llevan IVA (exento). Deducibles en IRPF si el préstamo financia la actividad.</t>
  </si>
  <si>
    <t>Art. 20 LIVA / Art. 30 LIRPF</t>
  </si>
  <si>
    <t>P04 — CASUÍSTICAS, EXCEPCIONES Y CASOS ESPECIALES</t>
  </si>
  <si>
    <t>CASUÍSTICA</t>
  </si>
  <si>
    <t>PROBABILIDAD</t>
  </si>
  <si>
    <t>COMPORTAMIENTO ESPERADO DEL AGENTE</t>
  </si>
  <si>
    <t>DIFERENCIA CON FLUJO ESTÁNDAR</t>
  </si>
  <si>
    <t>TAREA AFECTADA</t>
  </si>
  <si>
    <t>ESTADO</t>
  </si>
  <si>
    <t>C01</t>
  </si>
  <si>
    <t>Declaración SIN ACTIVIDAD (trimestre en blanco)</t>
  </si>
  <si>
    <t>MEDIA (~15%)</t>
  </si>
  <si>
    <t>1. Detectar: no hay facturas emitidas NI recibidas en el período
2. Confirmar con usuario: '¿No has tenido ninguna operación (ingreso ni gasto) en [período]?'
3. Si confirma → presentar M303 marcando 'Sin actividad' con todas las casillas a cero
4. Importante: hay que presentarlo igualmente aunque no haya actividad
5. Si hay gastos pero no ingresos → NO es 'sin actividad': hay IVA soportado que declarar (resultado negativo)</t>
  </si>
  <si>
    <t>T04-02 y T04-04 retornan listas vacías. T04-11 resultado = 0. Casilla especial 'Sin actividad'.</t>
  </si>
  <si>
    <t>T04-02/T04-04/T04-11</t>
  </si>
  <si>
    <t>IMPLEMENTAR</t>
  </si>
  <si>
    <t>C02</t>
  </si>
  <si>
    <t>Trimestres acumulados sin presentar</t>
  </si>
  <si>
    <t>BAJA-MEDIA (~8%)</t>
  </si>
  <si>
    <t>1. Detectar: hay más de un trimestre pendiente de presentar
2. Ordenar por antigüedad (presentar siempre el más antiguo primero)
3. Advertir al usuario: 'Tienes [n] trimestres sin presentar. Empezaremos por el más antiguo ([período]). Los recargos por extemporaneidad ya se aplicarán automáticamente.'
4. Calcular recargos acumulados estimados
5. Presentar de uno en uno (no se puede presentar 2T si el 1T no está presentado)</t>
  </si>
  <si>
    <t>Detección en T04-01. Bucle de presentaciones ordenadas. Recargo extemporáneo.</t>
  </si>
  <si>
    <t>T04-00/T04-01/T04-E4</t>
  </si>
  <si>
    <t>C03</t>
  </si>
  <si>
    <t>Facturas emitidas con retención IRPF (profesionales con retención)</t>
  </si>
  <si>
    <t>ALTA (~40%)</t>
  </si>
  <si>
    <t>1. Detectar facturas emitidas con retención IRPF (7% nuevos profesionales, 15% resto)
2. La retención NO afecta al M303 (el IVA es independiente de la retención IRPF)
3. La base imponible del M303 = precio sin IVA (independientemente de la retención)
4. Las retenciones sí afectan al M130 (pago fraccionado IRPF)
5. Informar al usuario para evitar confusión: 'La retención que te aplican tus clientes no reduce tu IVA. Eso se gestiona en el IRPF (Modelo 130), no aquí.'</t>
  </si>
  <si>
    <t>Las facturas con retención se procesan igual que sin retención para el M303. El campo retencion_irpf se ignora en este proceso pero se guarda para P09.</t>
  </si>
  <si>
    <t>T04-02/T04-08</t>
  </si>
  <si>
    <t>C04</t>
  </si>
  <si>
    <t>Factura rectificativa emitida (abono o corrección de factura anterior)</t>
  </si>
  <si>
    <t>MEDIA (~12%)</t>
  </si>
  <si>
    <t>1. Detectar facturas con tipo='rectificativa' o 'abono'
2. Las facturas rectificativas van en casillas 14 (base mod.) y 15 (cuota mod.) con signo negativo si reducen
3. Si la rectificativa está en el mismo trimestre que la original → puede descontarse directamente
4. Si está en trimestre diferente → declarar en el trimestre de la rectificativa
5. Informar al usuario: verificar que la rectificativa está bien emitida (debe referenciar la factura original)</t>
  </si>
  <si>
    <t>Facturas de tipo 'rectificativa' se enrutan a casillas 14-15 en lugar de 07-09.</t>
  </si>
  <si>
    <t>T04-02/T04-08/T04-20</t>
  </si>
  <si>
    <t>C05</t>
  </si>
  <si>
    <t>Inversión del sujeto pasivo — servicios digitales extranjeros</t>
  </si>
  <si>
    <t>ALTA (~60% de autónomos digitales)</t>
  </si>
  <si>
    <t>1. Detectar facturas sin IVA de proveedores extranjeros (Google, Meta, Adobe, AWS, Slack, GitHub, etc.)
2. Verificar si el proveedor tiene NIF español (si sí → no hay ISP, es normal)
3. Si no tiene NIF español → aplicar ISP:
   · Incluir en casilla 12 (base) y 13 (cuota) del devengado
   · Si el servicio es 100% profesional → incluir también en deducible (34-35)
   · Efecto neto: 0 si 100% deducible
4. Advertir: muchas suscripciones de software internacionales YA tienen NIF español desde 2019. Verificar en el VIES antes de aplicar ISP.
NIF españoles conocidos:
· Google Ireland Ltd: ESN0076590D
· Meta Platforms Ireland: ESN0133895B
· Adobe Systems: ESB61653893
· Microsoft Ireland: ESN0004929H</t>
  </si>
  <si>
    <t>Facturas sin NIF español se clasifican como ISP en T04-09. Requiere BD de NIFs de grandes proveedores internacionales.</t>
  </si>
  <si>
    <t>T04-04/T04-05/T04-09/T04-20/T04-21</t>
  </si>
  <si>
    <t>C06</t>
  </si>
  <si>
    <t>Criterio de caja (RECC) — IVA que se devenga al cobro</t>
  </si>
  <si>
    <t>BAJA (~3%)</t>
  </si>
  <si>
    <t>1. Detectar: perfil.regimen_iva='caja'
2. Solo incluir en el devengado las facturas COBRADAS en el período (no las emitidas)
3. Solo incluir en el deducible las facturas PAGADAS en el período (no las recibidas)
4. Mantener registro de facturas emitidas pero no cobradas (pendientes de cobro)
5. El M303 tendrá una sección específica para el criterio de caja
6. Al final del año → las facturas no cobradas/pagadas a 31 dic se incluyen en el 4T obligatoriamente</t>
  </si>
  <si>
    <t>El filtro en T04-02 y T04-04 usa campo 'cobrada/pagada' en vez de la fecha de emisión. Lógica completamente diferente.</t>
  </si>
  <si>
    <t>T04-02/T04-04/T04-08/T04-10/T04-20</t>
  </si>
  <si>
    <t>C07</t>
  </si>
  <si>
    <t>Autónomo con actividades mixtas (exenta + sujeta) — Prorrata</t>
  </si>
  <si>
    <t>BAJA (~4%)</t>
  </si>
  <si>
    <t>1. Detectar: el autónomo tiene actividad exenta Y actividad sujeta simultáneamente
2. No puede deducir el 100% del IVA soportado: solo el % proporcional de ventas sujetas sobre total ventas
3. % provisional de prorrata: calculado a inicio del año estimando la proporción
4. % definitivo: calculado al final del año con datos reales
5. En el 4T: regularización por diferencia entre provisional y definitivo (casilla 44)
6. En MVP: detectar y alertar al usuario. Derivar a cálculo manual con advertencia de complejidad.</t>
  </si>
  <si>
    <t>La deducibilidad del IVA soportado no es 100% sino proporcional. Afecta a casilla 560 del M036 y a la casilla 44 del M303 4T.</t>
  </si>
  <si>
    <t>T04-06/T04-10/T04-11/T04-23</t>
  </si>
  <si>
    <t>MVP: ALERTAR. V2: IMPLEMENTAR</t>
  </si>
  <si>
    <t>C08</t>
  </si>
  <si>
    <t>Solicitud de devolución en 4T con saldo negativo acumulado</t>
  </si>
  <si>
    <t>MEDIA (~20% en 4T)</t>
  </si>
  <si>
    <t>1. Detectar: es el 4T y el resultado final (casilla 69) es negativo
2. Preguntar al usuario:
   '¿Quieres solicitar la devolución de [importe] € ahora, o prefieres compensarlo en el próximo año?'
   'La devolución suele tardar 1-3 meses. La compensación es inmediata pero solo sirve si en el próximo año generas suficiente IVA repercutido para compensarlo.'
3. Si solicita devolución: rellenar casilla 72 + IBAN para la transferencia
4. Advertir: si la devolución es &gt; 3.000 € la AEAT puede iniciar un procedimiento de comprobación</t>
  </si>
  <si>
    <t>Solo en 4T. Casilla 72 en lugar de compensación. Implica IBAN para devolución.</t>
  </si>
  <si>
    <t>D12/T04-22</t>
  </si>
  <si>
    <t>C09</t>
  </si>
  <si>
    <t>Autoliquidación rectificativa (corregir un 303 ya presentado)</t>
  </si>
  <si>
    <t>BAJA (~5%)</t>
  </si>
  <si>
    <t>1. El usuario detecta un error en un M303 ya presentado (olvido de factura, tipo IVA incorrecto, etc.)
2. Desde Ley 13/2023 → autoliquidación rectificativa (no complementaria)
3. El agente presenta UN NUEVO M303 marcando 'Rectificativa' con los importes TOTALES correctos (no la diferencia)
4. La AEAT calcula automáticamente la diferencia respecto al presentado anterior
5. Si el error perjudica a Hacienda (se pagó de menos): recargo extemporáneo
6. Si el error perjudica al autónomo (se pagó de más): devolución o compensación
7. Casilla 108 (nueva 2023): rectificativa por discrepancia con criterio administrativo</t>
  </si>
  <si>
    <t>Proceso separado P04-R. La presentación lleva marcas específicas de 'rectificativa'. Requiere CSV de la presentación original.</t>
  </si>
  <si>
    <t>T04-00/T04-03</t>
  </si>
  <si>
    <t>IMPLEMENTAR (proceso P04-R separado)</t>
  </si>
  <si>
    <t>C10</t>
  </si>
  <si>
    <t>Factura a cliente extranjero fuera UE (exportación exenta IVA)</t>
  </si>
  <si>
    <t>MEDIA (~15% autónomos digitales)</t>
  </si>
  <si>
    <t>1. Detectar: factura emitida a cliente fuera de la UE (exportación)
2. La exportación está EXENTA de IVA (art. 21 LIVA)
3. No se repercute IVA al cliente extranjero
4. El IVA soportado de los gastos relacionados con esa exportación SÍ es deducible
5. En el M303: casilla 60 (exportaciones y operaciones asimiladas)
6. El bloque informativo casilla 60 debe reflejar la base de esas facturas</t>
  </si>
  <si>
    <t>Las facturas de exportación NO van al devengado general (casilla 07). Van a casilla informativa 60.</t>
  </si>
  <si>
    <t>T04-02/T04-08/T04-12/T04-23</t>
  </si>
  <si>
    <t>C11</t>
  </si>
  <si>
    <t>Venta B2B a empresa UE con NIF-IVA válido (entrega intracomunitaria exenta)</t>
  </si>
  <si>
    <t>MEDIA (~20% con clientes UE)</t>
  </si>
  <si>
    <t>1. Detectar: factura a empresa de la UE con NIF-IVA válido (verificado en VIES)
2. La entrega intracomunitaria está exenta de IVA (art. 25 LIVA) — factura a 0%
3. El cliente autoliquida el IVA en su país
4. En el M303: casilla 59 (entregas intracom. exentas)
5. REQUISITO OBLIGATORIO: verificar el NIF-IVA del cliente en el registro VIES antes de aplicar la exención
6. Si el NIF-IVA no es válido → no se puede aplicar la exención → facturar con 21%
7. El autónomo debe tener ROI activo (alta en casilla 582 del M036 — ver P01)</t>
  </si>
  <si>
    <t>Las facturas intracomunitarias B2B exentas NO van al devengado. Van a casilla 59 informativa. Requiere verificación VIES en tiempo real.</t>
  </si>
  <si>
    <t>P04 — OUTPUTS, JUSTIFICANTES Y ESQUEMA DE BASE DE DATOS</t>
  </si>
  <si>
    <t>OUTPUTS DE LA AEAT TRAS LA PRESENTACIÓN DEL M303</t>
  </si>
  <si>
    <t>DESCRIPCIÓN</t>
  </si>
  <si>
    <t>FORMATO</t>
  </si>
  <si>
    <t>CÓMO OBTENERLO</t>
  </si>
  <si>
    <t>CÓMO VERIFICARLO</t>
  </si>
  <si>
    <t>ALMACENAR EN</t>
  </si>
  <si>
    <t>DISPONIBILIDAD</t>
  </si>
  <si>
    <t>Justificante PDF oficial</t>
  </si>
  <si>
    <t>PDF con sello AEAT. Incluye: NIF, modelo 303, ejercicio, período, fecha/hora presentación, resultado, CSV y NRC (si a ingresar).</t>
  </si>
  <si>
    <t>PDF (~150-300 KB)</t>
  </si>
  <si>
    <t>Playwright: botón 'Descargar justificante' o 'Imprimir' en pantalla de confirmación</t>
  </si>
  <si>
    <t>PDF contiene: CSV correcto, NIF correcto, período correcto, resultado = resultado_final del agente</t>
  </si>
  <si>
    <t>Storage S3. Path en BD PRESENTACIONES.</t>
  </si>
  <si>
    <t>Inmediato</t>
  </si>
  <si>
    <t>CSV de presentación (16 caracteres)</t>
  </si>
  <si>
    <t>Código Seguro de Verificación. Identificador único legal de la presentación. Diferente del NRC.</t>
  </si>
  <si>
    <t>str(16) alfanumérico</t>
  </si>
  <si>
    <t>Capturar de pantalla de confirmación Y del PDF. Verificar que coinciden.</t>
  </si>
  <si>
    <t>CSV pantalla = CSV del PDF. Si difieren → alerta crítica.</t>
  </si>
  <si>
    <t>BD tabla PRESENTACIONES campo 'csv'</t>
  </si>
  <si>
    <t>NRC (Número de Referencia Completo)</t>
  </si>
  <si>
    <t>Solo si resultado a ingresar. Código de 22 caracteres que acredita el pago. Generado por el banco o por la AEAT tras el pago con tarjeta.</t>
  </si>
  <si>
    <t>str(22) alfanumérico</t>
  </si>
  <si>
    <t>Si domiciliación: la AEAT lo genera. Si NRC banco: el usuario lo introduce. Si tarjeta: AEAT lo genera tras el pago.</t>
  </si>
  <si>
    <t>El NRC es válido solo para: este NIF + modelo 303 + ejercicio + período + importe exacto</t>
  </si>
  <si>
    <t>BD tabla PRESENTACIONES campo 'nrc'</t>
  </si>
  <si>
    <t>Inmediato (pago) o diferido (domiciliación: día vencimiento)</t>
  </si>
  <si>
    <t>Cargo bancario (si domiciliación)</t>
  </si>
  <si>
    <t>Cargo en cuenta bancaria del autónomo por el importe a ingresar. Realizado por la AEAT en la fecha de vencimiento.</t>
  </si>
  <si>
    <t>Movimiento bancario</t>
  </si>
  <si>
    <t>El autónomo lo verifica en su banca online el día del vencimiento</t>
  </si>
  <si>
    <t>El importe debe coincidir exactamente con casilla 71 del M303</t>
  </si>
  <si>
    <t>Registrar fecha y verificación en BD</t>
  </si>
  <si>
    <t>Día del vencimiento (20 o 30)</t>
  </si>
  <si>
    <t>Devolución bancaria (si resultado negativo 4T)</t>
  </si>
  <si>
    <t>Transferencia de la AEAT al IBAN declarado por el importe solicitado en casilla 72.</t>
  </si>
  <si>
    <t>Transferencia bancaria</t>
  </si>
  <si>
    <t>Notificación en Sede AEAT + movimiento bancario</t>
  </si>
  <si>
    <t>Importe debe coincidir con casilla 72 del M303 presentado</t>
  </si>
  <si>
    <t>Registrar fecha de cobro en BD</t>
  </si>
  <si>
    <t>Plazo máximo 6 meses desde presentación del 4T</t>
  </si>
  <si>
    <t>ESQUEMA DE TABLAS BD — NUEVAS O AMPLIADAS POR P04</t>
  </si>
  <si>
    <t>TABLA</t>
  </si>
  <si>
    <t>CAMPO</t>
  </si>
  <si>
    <t>NUEVO/AMPLIADO</t>
  </si>
  <si>
    <t>ÍNDICE</t>
  </si>
  <si>
    <t>PRESENTACIONES</t>
  </si>
  <si>
    <t>periodo</t>
  </si>
  <si>
    <t>VARCHAR(2)</t>
  </si>
  <si>
    <t>1T/2T/3T/4T</t>
  </si>
  <si>
    <t>NUEVO para P04</t>
  </si>
  <si>
    <t>INDEX</t>
  </si>
  <si>
    <t>Junto con ejercicio identifica unívocamente el trimestre</t>
  </si>
  <si>
    <t>ejercicio</t>
  </si>
  <si>
    <t>INT(4)</t>
  </si>
  <si>
    <t>Año del trimestre declarado</t>
  </si>
  <si>
    <t>resultado</t>
  </si>
  <si>
    <t>DECIMAL(10,2)</t>
  </si>
  <si>
    <t>Resultado final casilla 69</t>
  </si>
  <si>
    <t>Puede ser negativo</t>
  </si>
  <si>
    <t>tipo_resultado</t>
  </si>
  <si>
    <t>VARCHAR(20)</t>
  </si>
  <si>
    <t>a_ingresar/a_compensar/sin_actividad/devolucion</t>
  </si>
  <si>
    <t>nrc</t>
  </si>
  <si>
    <t>VARCHAR(22)</t>
  </si>
  <si>
    <t>Número de Referencia Completo del pago</t>
  </si>
  <si>
    <t>NULL si no hay ingreso</t>
  </si>
  <si>
    <t>metodo_pago</t>
  </si>
  <si>
    <t>domiciliacion/nrc/tarjeta</t>
  </si>
  <si>
    <t>SALDO_IVA_COMPENSAR</t>
  </si>
  <si>
    <t>user_id</t>
  </si>
  <si>
    <t>UUID</t>
  </si>
  <si>
    <t>FK → PERFILES</t>
  </si>
  <si>
    <t>NUEVA TABLA</t>
  </si>
  <si>
    <t>FK+UNIQUE</t>
  </si>
  <si>
    <t>Una fila por usuario (saldo acumulado)</t>
  </si>
  <si>
    <t>saldo</t>
  </si>
  <si>
    <t>Importe acumulado a compensar en próximo trimestre</t>
  </si>
  <si>
    <t>0 si no hay saldo. Siempre &gt;= 0.</t>
  </si>
  <si>
    <t>periodo_origen</t>
  </si>
  <si>
    <t>VARCHAR(10)</t>
  </si>
  <si>
    <t>'1T 2025', '2T 2025'... origen del saldo</t>
  </si>
  <si>
    <t>Para trazabilidad</t>
  </si>
  <si>
    <t>actualizado_en</t>
  </si>
  <si>
    <t>TIMESTAMP</t>
  </si>
  <si>
    <t>Última vez que se actualizó el saldo</t>
  </si>
  <si>
    <t>Se actualiza en cada presentación P04/P05/P06/P07</t>
  </si>
  <si>
    <t>FACTURAS_EMITIDAS</t>
  </si>
  <si>
    <t>FK+INDEX</t>
  </si>
  <si>
    <t>numero</t>
  </si>
  <si>
    <t>VARCHAR(50)</t>
  </si>
  <si>
    <t>Número de factura</t>
  </si>
  <si>
    <t>UNIQUE por user_id</t>
  </si>
  <si>
    <t>fecha</t>
  </si>
  <si>
    <t>DATE</t>
  </si>
  <si>
    <t>Fecha de emisión</t>
  </si>
  <si>
    <t>nif_cliente</t>
  </si>
  <si>
    <t>VARCHAR(9)</t>
  </si>
  <si>
    <t>NIF del cliente (si disponible)</t>
  </si>
  <si>
    <t>NULL para ventas a particulares sin NIF</t>
  </si>
  <si>
    <t>base_imponible</t>
  </si>
  <si>
    <t>Base imponible</t>
  </si>
  <si>
    <t>tipo_iva</t>
  </si>
  <si>
    <t>DECIMAL(4,1)</t>
  </si>
  <si>
    <t>Tipo de IVA aplicado (0/4/10/21)</t>
  </si>
  <si>
    <t>cuota_iva</t>
  </si>
  <si>
    <t>Cuota de IVA</t>
  </si>
  <si>
    <t>Verificar = base × tipo/100 ±0.02</t>
  </si>
  <si>
    <t>retencion_irpf</t>
  </si>
  <si>
    <t>% de retención IRPF (0/7/15/19)</t>
  </si>
  <si>
    <t>Para uso en P09 (M130)</t>
  </si>
  <si>
    <t>cobrada</t>
  </si>
  <si>
    <t>BOOLEAN</t>
  </si>
  <si>
    <t>Si ha sido cobrada (para criterio caja)</t>
  </si>
  <si>
    <t>True por defecto salvo criterio caja</t>
  </si>
  <si>
    <t>periodo_declarado</t>
  </si>
  <si>
    <t>En qué período 303 fue declarada</t>
  </si>
  <si>
    <t>NULL hasta ser declarada</t>
  </si>
  <si>
    <t>FACTURAS_RECIBIDAS</t>
  </si>
  <si>
    <t>Número de factura del proveedor</t>
  </si>
  <si>
    <t>Fecha de la factura</t>
  </si>
  <si>
    <t>nif_proveedor</t>
  </si>
  <si>
    <t>NIF del proveedor</t>
  </si>
  <si>
    <t>Tipo de IVA (0/4/10/21)</t>
  </si>
  <si>
    <t>Cuota de IVA de la factura</t>
  </si>
  <si>
    <t>tipo_gasto</t>
  </si>
  <si>
    <t>corriente/inversion</t>
  </si>
  <si>
    <t>Determina en qué casillas va el IVA deducible</t>
  </si>
  <si>
    <t>porcentaje_deduccion</t>
  </si>
  <si>
    <t>DECIMAL(5,2)</t>
  </si>
  <si>
    <t>% de IVA deducible (0-100)</t>
  </si>
  <si>
    <t>Según clasificación de deducibilidad</t>
  </si>
  <si>
    <t>cuota_iva_deducible</t>
  </si>
  <si>
    <t>cuota_iva × porcentaje_deduccion / 100</t>
  </si>
  <si>
    <t>Calculado por el agente</t>
  </si>
  <si>
    <t>pagada</t>
  </si>
  <si>
    <t>Si ha sido pagada (para criterio caja)</t>
  </si>
  <si>
    <t>True por defecto</t>
  </si>
  <si>
    <t>requiere_confirmacion</t>
  </si>
  <si>
    <t>Si el usuario tuvo que confirmar la deducibilidad</t>
  </si>
  <si>
    <t>Para auditoría</t>
  </si>
  <si>
    <t>log_decision_usuario</t>
  </si>
  <si>
    <t>JSONB</t>
  </si>
  <si>
    <t>Registro de la decisión del usuario sobre deducibilidad</t>
  </si>
  <si>
    <t>Inmutable. Para auditoría.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</si>
</sst>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charset val="1"/>
    </font>
    <font>
      <b/>
      <sz val="13"/>
      <color rgb="FFFFFFFF"/>
      <name val="Arial"/>
      <charset val="1"/>
    </font>
    <font>
      <i/>
      <sz val="9"/>
      <color rgb="FF4B5563"/>
      <name val="Arial"/>
      <charset val="1"/>
    </font>
    <font>
      <b/>
      <sz val="9"/>
      <color rgb="FFFFFFFF"/>
      <name val="Arial"/>
      <charset val="1"/>
    </font>
    <font>
      <sz val="9"/>
      <color rgb="FF111827"/>
      <name val="Arial"/>
      <charset val="1"/>
    </font>
    <font>
      <b/>
      <sz val="9"/>
      <color rgb="FF9B1C1C"/>
      <name val="Arial"/>
      <charset val="1"/>
    </font>
    <font>
      <b/>
      <sz val="9"/>
      <color rgb="FF111827"/>
      <name val="Arial"/>
      <charset val="1"/>
    </font>
    <font>
      <b/>
      <sz val="9"/>
      <color rgb="FF1B4F8A"/>
      <name val="Arial"/>
      <charset val="1"/>
    </font>
    <font>
      <b/>
      <sz val="11"/>
      <color rgb="FF1A6B3A"/>
      <name val="Arial"/>
      <charset val="1"/>
    </font>
    <font>
      <b/>
      <sz val="12"/>
      <color rgb="FFFFFFFF"/>
      <name val="Arial"/>
      <charset val="1"/>
    </font>
    <font>
      <b/>
      <sz val="9"/>
      <color rgb="FFB45309"/>
      <name val="Arial"/>
      <charset val="1"/>
    </font>
    <font>
      <sz val="8"/>
      <color rgb="FF1A6B3A"/>
      <name val="Arial"/>
      <charset val="1"/>
    </font>
    <font>
      <sz val="8"/>
      <color rgb="FF9B1C1C"/>
      <name val="Arial"/>
      <charset val="1"/>
    </font>
    <font>
      <i/>
      <sz val="8"/>
      <color rgb="FF5B2D8E"/>
      <name val="Arial"/>
      <charset val="1"/>
    </font>
    <font>
      <i/>
      <sz val="8"/>
      <color rgb="FF111827"/>
      <name val="Arial"/>
      <charset val="1"/>
    </font>
    <font>
      <b/>
      <sz val="8"/>
      <color rgb="FF9B1C1C"/>
      <name val="Arial"/>
      <charset val="1"/>
    </font>
    <font>
      <b/>
      <sz val="8"/>
      <color rgb="FF1A6B3A"/>
      <name val="Arial"/>
      <charset val="1"/>
    </font>
    <font>
      <b/>
      <sz val="8"/>
      <color rgb="FFB45309"/>
      <name val="Arial"/>
      <charset val="1"/>
    </font>
    <font>
      <sz val="8"/>
      <color rgb="FF111827"/>
      <name val="Arial"/>
      <charset val="1"/>
    </font>
    <font>
      <i/>
      <sz val="8"/>
      <color rgb="FF1A6B3A"/>
      <name val="Arial"/>
      <charset val="1"/>
    </font>
    <font>
      <b/>
      <sz val="9"/>
      <color rgb="FF5B2D8E"/>
      <name val="Arial"/>
      <charset val="1"/>
    </font>
    <font>
      <i/>
      <sz val="8"/>
      <color rgb="FFB45309"/>
      <name val="Arial"/>
      <charset val="1"/>
    </font>
    <font>
      <i/>
      <sz val="8"/>
      <color rgb="FF4B5563"/>
      <name val="Arial"/>
      <charset val="1"/>
    </font>
    <font>
      <b/>
      <sz val="9"/>
      <color rgb="FF8B6914"/>
      <name val="Arial"/>
      <charset val="1"/>
    </font>
    <font>
      <b/>
      <sz val="9"/>
      <color rgb="FF0E5A73"/>
      <name val="Arial"/>
      <charset val="1"/>
    </font>
    <font>
      <b/>
      <sz val="9"/>
      <color rgb="FF2E75B6"/>
      <name val="Arial"/>
      <charset val="1"/>
    </font>
    <font>
      <b/>
      <sz val="9"/>
      <color rgb="FF1A6B3A"/>
      <name val="Arial"/>
      <charset val="1"/>
    </font>
    <font>
      <b/>
      <sz val="9"/>
      <color rgb="FF4B5563"/>
      <name val="Arial"/>
      <charset val="1"/>
    </font>
    <font>
      <sz val="8"/>
      <color rgb="FFB45309"/>
      <name val="Arial"/>
      <charset val="1"/>
    </font>
    <font>
      <b/>
      <sz val="8"/>
      <color rgb="FF1B4F8A"/>
      <name val="Arial"/>
      <charset val="1"/>
    </font>
    <font>
      <i/>
      <sz val="8"/>
      <color rgb="FF9B1C1C"/>
      <name val="Arial"/>
      <charset val="1"/>
    </font>
    <font>
      <b/>
      <sz val="8"/>
      <color rgb="FF4B5563"/>
      <name val="Arial"/>
      <charset val="1"/>
    </font>
    <font>
      <b/>
      <sz val="8"/>
      <color rgb="FF2E75B6"/>
      <name val="Arial"/>
      <charset val="1"/>
    </font>
    <font>
      <sz val="8"/>
      <color rgb="FF5B2D8E"/>
      <name val="Arial"/>
      <charset val="1"/>
    </font>
    <font>
      <sz val="8"/>
      <color rgb="FF4B5563"/>
      <name val="Arial"/>
      <charset val="1"/>
    </font>
    <font>
      <b/>
      <sz val="8"/>
      <color rgb="FF111827"/>
      <name val="Arial"/>
      <charset val="1"/>
    </font>
    <font>
      <b/>
      <sz val="8"/>
      <color rgb="FF5B2D8E"/>
      <name val="Arial"/>
      <charset val="1"/>
    </font>
  </fonts>
  <fills count="15">
    <fill>
      <patternFill patternType="none"/>
    </fill>
    <fill>
      <patternFill patternType="gray125"/>
    </fill>
    <fill>
      <patternFill patternType="solid">
        <fgColor rgb="FF1B4F8A"/>
        <bgColor rgb="FF0E5A73"/>
      </patternFill>
    </fill>
    <fill>
      <patternFill patternType="solid">
        <fgColor rgb="FFD5E8F0"/>
        <bgColor rgb="FFD0EAF2"/>
      </patternFill>
    </fill>
    <fill>
      <patternFill patternType="solid">
        <fgColor rgb="FF2E75B6"/>
        <bgColor rgb="FF0066CC"/>
      </patternFill>
    </fill>
    <fill>
      <patternFill patternType="solid">
        <fgColor rgb="FFEBF4FB"/>
        <bgColor rgb="FFF3F4F6"/>
      </patternFill>
    </fill>
    <fill>
      <patternFill patternType="solid">
        <fgColor rgb="FFFFFFFF"/>
        <bgColor rgb="FFF3F4F6"/>
      </patternFill>
    </fill>
    <fill>
      <patternFill patternType="solid">
        <fgColor rgb="FFFEE2E2"/>
        <bgColor rgb="FFEDE7F6"/>
      </patternFill>
    </fill>
    <fill>
      <patternFill patternType="solid">
        <fgColor rgb="FF1A6B3A"/>
        <bgColor rgb="FF0E5A73"/>
      </patternFill>
    </fill>
    <fill>
      <patternFill patternType="solid">
        <fgColor rgb="FFD5F0E0"/>
        <bgColor rgb="FFD0EAF2"/>
      </patternFill>
    </fill>
    <fill>
      <patternFill patternType="solid">
        <fgColor rgb="FFF3F4F6"/>
        <bgColor rgb="FFEBF4FB"/>
      </patternFill>
    </fill>
    <fill>
      <patternFill patternType="solid">
        <fgColor rgb="FFFEF3C7"/>
        <bgColor rgb="FFFFF9C4"/>
      </patternFill>
    </fill>
    <fill>
      <patternFill patternType="solid">
        <fgColor rgb="FFEDE7F6"/>
        <bgColor rgb="FFEBF4FB"/>
      </patternFill>
    </fill>
    <fill>
      <patternFill patternType="solid">
        <fgColor rgb="FFFFF9C4"/>
        <bgColor rgb="FFFEF3C7"/>
      </patternFill>
    </fill>
    <fill>
      <patternFill patternType="solid">
        <fgColor rgb="FFD0EAF2"/>
        <bgColor rgb="FFD5E8F0"/>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1A6B3A"/>
      </left>
      <right/>
      <top style="thin">
        <color rgb="FF1A6B3A"/>
      </top>
      <bottom style="thin">
        <color rgb="FF1A6B3A"/>
      </bottom>
      <diagonal/>
    </border>
  </borders>
  <cellStyleXfs count="1">
    <xf numFmtId="0" fontId="0" fillId="0" borderId="0"/>
  </cellStyleXfs>
  <cellXfs count="71">
    <xf numFmtId="0" fontId="0" fillId="0" borderId="0" xfId="0"/>
    <xf numFmtId="0" fontId="9" fillId="2" borderId="0" xfId="0" applyFont="1" applyFill="1" applyAlignment="1">
      <alignment horizontal="center" vertical="center" wrapText="1"/>
    </xf>
    <xf numFmtId="0" fontId="2" fillId="10" borderId="2" xfId="0" applyFont="1" applyFill="1" applyBorder="1" applyAlignment="1">
      <alignment horizontal="center" vertical="center" wrapText="1"/>
    </xf>
    <xf numFmtId="0" fontId="8" fillId="9" borderId="5"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4" borderId="1" xfId="0" applyFont="1" applyFill="1" applyBorder="1" applyAlignment="1">
      <alignment horizontal="right" vertical="center" wrapText="1"/>
    </xf>
    <xf numFmtId="0" fontId="3" fillId="2" borderId="4"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4" fillId="13" borderId="1" xfId="0" applyFont="1" applyFill="1" applyBorder="1" applyAlignment="1">
      <alignment horizontal="left" vertical="center" wrapText="1"/>
    </xf>
    <xf numFmtId="0" fontId="15" fillId="7"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14" fillId="10"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9" fillId="9" borderId="1" xfId="0" applyFont="1" applyFill="1" applyBorder="1" applyAlignment="1">
      <alignment horizontal="left" vertical="center" wrapText="1"/>
    </xf>
    <xf numFmtId="0" fontId="20" fillId="12" borderId="1" xfId="0" applyFont="1" applyFill="1" applyBorder="1" applyAlignment="1">
      <alignment horizontal="center" vertical="center" wrapText="1"/>
    </xf>
    <xf numFmtId="0" fontId="21" fillId="11"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18" fillId="5" borderId="1" xfId="0" applyFont="1" applyFill="1" applyBorder="1" applyAlignment="1">
      <alignment horizontal="left" vertical="center" wrapText="1"/>
    </xf>
    <xf numFmtId="0" fontId="22" fillId="10" borderId="1" xfId="0" applyFont="1" applyFill="1" applyBorder="1" applyAlignment="1">
      <alignment horizontal="left" vertical="center" wrapText="1"/>
    </xf>
    <xf numFmtId="0" fontId="23" fillId="13" borderId="1" xfId="0" applyFont="1" applyFill="1" applyBorder="1" applyAlignment="1">
      <alignment horizontal="center" vertical="center" wrapText="1"/>
    </xf>
    <xf numFmtId="0" fontId="24" fillId="14"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2" fillId="5" borderId="1" xfId="0" applyFont="1" applyFill="1" applyBorder="1" applyAlignment="1">
      <alignment horizontal="left" vertical="center" wrapText="1"/>
    </xf>
    <xf numFmtId="0" fontId="28" fillId="11" borderId="1" xfId="0" applyFont="1" applyFill="1" applyBorder="1" applyAlignment="1">
      <alignment horizontal="left" vertical="center" wrapText="1"/>
    </xf>
    <xf numFmtId="0" fontId="29" fillId="5" borderId="1" xfId="0" applyFont="1" applyFill="1" applyBorder="1" applyAlignment="1">
      <alignment horizontal="center" vertical="center" wrapText="1"/>
    </xf>
    <xf numFmtId="0" fontId="30" fillId="7" borderId="1" xfId="0" applyFont="1" applyFill="1" applyBorder="1" applyAlignment="1">
      <alignment horizontal="left" vertical="center" wrapText="1"/>
    </xf>
    <xf numFmtId="0" fontId="22" fillId="6" borderId="1" xfId="0" applyFont="1" applyFill="1" applyBorder="1" applyAlignment="1">
      <alignment horizontal="left" vertical="center" wrapText="1"/>
    </xf>
    <xf numFmtId="0" fontId="29" fillId="3" borderId="1" xfId="0" applyFont="1" applyFill="1" applyBorder="1" applyAlignment="1">
      <alignment horizontal="center" vertical="center" wrapText="1"/>
    </xf>
    <xf numFmtId="0" fontId="29" fillId="9" borderId="1" xfId="0" applyFont="1" applyFill="1" applyBorder="1" applyAlignment="1">
      <alignment horizontal="center" vertical="center" wrapText="1"/>
    </xf>
    <xf numFmtId="0" fontId="29" fillId="11" borderId="1" xfId="0" applyFont="1" applyFill="1" applyBorder="1" applyAlignment="1">
      <alignment horizontal="center" vertical="center" wrapText="1"/>
    </xf>
    <xf numFmtId="0" fontId="29" fillId="10" borderId="1" xfId="0" applyFont="1" applyFill="1" applyBorder="1" applyAlignment="1">
      <alignment horizontal="center" vertical="center" wrapText="1"/>
    </xf>
    <xf numFmtId="0" fontId="29" fillId="12" borderId="1"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27" fillId="9" borderId="1" xfId="0" applyFont="1" applyFill="1" applyBorder="1" applyAlignment="1">
      <alignment horizontal="center" vertical="center" wrapText="1"/>
    </xf>
    <xf numFmtId="0" fontId="18" fillId="9" borderId="1" xfId="0" applyFont="1" applyFill="1" applyBorder="1" applyAlignment="1">
      <alignment horizontal="left" vertical="center" wrapText="1"/>
    </xf>
    <xf numFmtId="0" fontId="31" fillId="10"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27"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33" fillId="12" borderId="1" xfId="0" applyFont="1" applyFill="1" applyBorder="1" applyAlignment="1">
      <alignment horizontal="left" vertical="center" wrapText="1"/>
    </xf>
    <xf numFmtId="0" fontId="34" fillId="10"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34" fillId="10" borderId="1" xfId="0" applyFont="1" applyFill="1" applyBorder="1" applyAlignment="1">
      <alignment horizontal="center" vertical="center" wrapText="1"/>
    </xf>
    <xf numFmtId="0" fontId="35" fillId="6" borderId="1" xfId="0" applyFont="1" applyFill="1" applyBorder="1" applyAlignment="1">
      <alignment horizontal="left" vertical="center" wrapText="1"/>
    </xf>
    <xf numFmtId="0" fontId="36" fillId="1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6B3A"/>
      <rgbColor rgb="FF000080"/>
      <rgbColor rgb="FF8B6914"/>
      <rgbColor rgb="FF800080"/>
      <rgbColor rgb="FF0E5A73"/>
      <rgbColor rgb="FFCCCCCC"/>
      <rgbColor rgb="FF808080"/>
      <rgbColor rgb="FF9999FF"/>
      <rgbColor rgb="FFB45309"/>
      <rgbColor rgb="FFFFF9C4"/>
      <rgbColor rgb="FFD0EAF2"/>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D5E8F0"/>
      <rgbColor rgb="FFD5F0E0"/>
      <rgbColor rgb="FFFEF3C7"/>
      <rgbColor rgb="FFEBF4FB"/>
      <rgbColor rgb="FFF3F4F6"/>
      <rgbColor rgb="FFCC99FF"/>
      <rgbColor rgb="FFFEE2E2"/>
      <rgbColor rgb="FF2E75B6"/>
      <rgbColor rgb="FF33CCCC"/>
      <rgbColor rgb="FF99CC00"/>
      <rgbColor rgb="FFFFCC00"/>
      <rgbColor rgb="FFFF9900"/>
      <rgbColor rgb="FFFF6600"/>
      <rgbColor rgb="FF4B5563"/>
      <rgbColor rgb="FF969696"/>
      <rgbColor rgb="FF1B4F8A"/>
      <rgbColor rgb="FF339966"/>
      <rgbColor rgb="FF111827"/>
      <rgbColor rgb="FF333300"/>
      <rgbColor rgb="FF9B1C1C"/>
      <rgbColor rgb="FF993366"/>
      <rgbColor rgb="FF5B2D8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6"/>
  <sheetViews>
    <sheetView showGridLines="0" tabSelected="1" zoomScaleNormal="100" workbookViewId="0">
      <pane xSplit="1" ySplit="4" topLeftCell="B5" activePane="bottomRight" state="frozen"/>
      <selection pane="topRight" activeCell="B1" sqref="B1"/>
      <selection pane="bottomLeft" activeCell="A5" sqref="A5"/>
      <selection pane="bottomRight" activeCell="C9" sqref="C9:F9"/>
    </sheetView>
  </sheetViews>
  <sheetFormatPr baseColWidth="10" defaultColWidth="8.6640625" defaultRowHeight="14.4" x14ac:dyDescent="0.3"/>
  <cols>
    <col min="1" max="1" width="3" customWidth="1"/>
    <col min="2" max="2" width="24" customWidth="1"/>
    <col min="3" max="3" width="60" customWidth="1"/>
    <col min="4" max="6" width="16" customWidth="1"/>
  </cols>
  <sheetData>
    <row r="2" spans="2:6" ht="27.75" customHeight="1" x14ac:dyDescent="0.3">
      <c r="B2" s="9" t="s">
        <v>0</v>
      </c>
      <c r="C2" s="9"/>
      <c r="D2" s="9"/>
      <c r="E2" s="9"/>
      <c r="F2" s="9"/>
    </row>
    <row r="3" spans="2:6" ht="15" customHeight="1" x14ac:dyDescent="0.3">
      <c r="B3" s="8" t="s">
        <v>1</v>
      </c>
      <c r="C3" s="8"/>
      <c r="D3" s="8"/>
      <c r="E3" s="8"/>
      <c r="F3" s="8"/>
    </row>
    <row r="5" spans="2:6" ht="25.5" customHeight="1" x14ac:dyDescent="0.3">
      <c r="B5" s="10" t="s">
        <v>2</v>
      </c>
      <c r="C5" s="7" t="s">
        <v>3</v>
      </c>
      <c r="D5" s="7"/>
      <c r="E5" s="7"/>
      <c r="F5" s="7"/>
    </row>
    <row r="6" spans="2:6" ht="25.5" customHeight="1" x14ac:dyDescent="0.3">
      <c r="B6" s="10" t="s">
        <v>4</v>
      </c>
      <c r="C6" s="6" t="s">
        <v>5</v>
      </c>
      <c r="D6" s="6"/>
      <c r="E6" s="6"/>
      <c r="F6" s="6"/>
    </row>
    <row r="7" spans="2:6" ht="25.5" customHeight="1" x14ac:dyDescent="0.3">
      <c r="B7" s="10" t="s">
        <v>6</v>
      </c>
      <c r="C7" s="7" t="s">
        <v>7</v>
      </c>
      <c r="D7" s="7"/>
      <c r="E7" s="7"/>
      <c r="F7" s="7"/>
    </row>
    <row r="8" spans="2:6" ht="25.5" customHeight="1" x14ac:dyDescent="0.3">
      <c r="B8" s="10" t="s">
        <v>8</v>
      </c>
      <c r="C8" s="6" t="s">
        <v>9</v>
      </c>
      <c r="D8" s="6"/>
      <c r="E8" s="6"/>
      <c r="F8" s="6"/>
    </row>
    <row r="9" spans="2:6" ht="25.5" customHeight="1" x14ac:dyDescent="0.3">
      <c r="B9" s="10" t="s">
        <v>10</v>
      </c>
      <c r="C9" s="7" t="s">
        <v>11</v>
      </c>
      <c r="D9" s="7"/>
      <c r="E9" s="7"/>
      <c r="F9" s="7"/>
    </row>
    <row r="10" spans="2:6" ht="25.5" customHeight="1" x14ac:dyDescent="0.3">
      <c r="B10" s="10" t="s">
        <v>12</v>
      </c>
      <c r="C10" s="6" t="s">
        <v>13</v>
      </c>
      <c r="D10" s="6"/>
      <c r="E10" s="6"/>
      <c r="F10" s="6"/>
    </row>
    <row r="11" spans="2:6" ht="25.5" customHeight="1" x14ac:dyDescent="0.3">
      <c r="B11" s="10" t="s">
        <v>14</v>
      </c>
      <c r="C11" s="7" t="s">
        <v>15</v>
      </c>
      <c r="D11" s="7"/>
      <c r="E11" s="7"/>
      <c r="F11" s="7"/>
    </row>
    <row r="12" spans="2:6" ht="25.5" customHeight="1" x14ac:dyDescent="0.3">
      <c r="B12" s="10" t="s">
        <v>16</v>
      </c>
      <c r="C12" s="6" t="s">
        <v>17</v>
      </c>
      <c r="D12" s="6"/>
      <c r="E12" s="6"/>
      <c r="F12" s="6"/>
    </row>
    <row r="13" spans="2:6" ht="25.5" customHeight="1" x14ac:dyDescent="0.3">
      <c r="B13" s="10" t="s">
        <v>18</v>
      </c>
      <c r="C13" s="7" t="s">
        <v>19</v>
      </c>
      <c r="D13" s="7"/>
      <c r="E13" s="7"/>
      <c r="F13" s="7"/>
    </row>
    <row r="14" spans="2:6" ht="25.5" customHeight="1" x14ac:dyDescent="0.3">
      <c r="B14" s="10" t="s">
        <v>20</v>
      </c>
      <c r="C14" s="6" t="s">
        <v>21</v>
      </c>
      <c r="D14" s="6"/>
      <c r="E14" s="6"/>
      <c r="F14" s="6"/>
    </row>
    <row r="15" spans="2:6" ht="25.5" customHeight="1" x14ac:dyDescent="0.3">
      <c r="B15" s="10" t="s">
        <v>22</v>
      </c>
      <c r="C15" s="7" t="s">
        <v>23</v>
      </c>
      <c r="D15" s="7"/>
      <c r="E15" s="7"/>
      <c r="F15" s="7"/>
    </row>
    <row r="16" spans="2:6" ht="25.5" customHeight="1" x14ac:dyDescent="0.3">
      <c r="B16" s="10" t="s">
        <v>24</v>
      </c>
      <c r="C16" s="6" t="s">
        <v>25</v>
      </c>
      <c r="D16" s="6"/>
      <c r="E16" s="6"/>
      <c r="F16" s="6"/>
    </row>
    <row r="17" spans="2:6" ht="25.5" customHeight="1" x14ac:dyDescent="0.3">
      <c r="B17" s="10" t="s">
        <v>26</v>
      </c>
      <c r="C17" s="7" t="s">
        <v>27</v>
      </c>
      <c r="D17" s="7"/>
      <c r="E17" s="7"/>
      <c r="F17" s="7"/>
    </row>
    <row r="18" spans="2:6" ht="25.5" customHeight="1" x14ac:dyDescent="0.3">
      <c r="B18" s="10" t="s">
        <v>28</v>
      </c>
      <c r="C18" s="6" t="s">
        <v>29</v>
      </c>
      <c r="D18" s="6"/>
      <c r="E18" s="6"/>
      <c r="F18" s="6"/>
    </row>
    <row r="19" spans="2:6" ht="25.5" customHeight="1" x14ac:dyDescent="0.3">
      <c r="B19" s="10" t="s">
        <v>30</v>
      </c>
      <c r="C19" s="7" t="s">
        <v>31</v>
      </c>
      <c r="D19" s="7"/>
      <c r="E19" s="7"/>
      <c r="F19" s="7"/>
    </row>
    <row r="20" spans="2:6" ht="25.5" customHeight="1" x14ac:dyDescent="0.3">
      <c r="B20" s="10" t="s">
        <v>32</v>
      </c>
      <c r="C20" s="6" t="s">
        <v>33</v>
      </c>
      <c r="D20" s="6"/>
      <c r="E20" s="6"/>
      <c r="F20" s="6"/>
    </row>
    <row r="21" spans="2:6" ht="25.5" customHeight="1" x14ac:dyDescent="0.3">
      <c r="B21" s="10" t="s">
        <v>34</v>
      </c>
      <c r="C21" s="7" t="s">
        <v>35</v>
      </c>
      <c r="D21" s="7"/>
      <c r="E21" s="7"/>
      <c r="F21" s="7"/>
    </row>
    <row r="22" spans="2:6" ht="25.5" customHeight="1" x14ac:dyDescent="0.3">
      <c r="B22" s="10" t="s">
        <v>36</v>
      </c>
      <c r="C22" s="6" t="s">
        <v>37</v>
      </c>
      <c r="D22" s="6"/>
      <c r="E22" s="6"/>
      <c r="F22" s="6"/>
    </row>
    <row r="23" spans="2:6" ht="25.5" customHeight="1" x14ac:dyDescent="0.3">
      <c r="B23" s="10" t="s">
        <v>38</v>
      </c>
      <c r="C23" s="7" t="s">
        <v>39</v>
      </c>
      <c r="D23" s="7"/>
      <c r="E23" s="7"/>
      <c r="F23" s="7"/>
    </row>
    <row r="24" spans="2:6" ht="25.5" customHeight="1" x14ac:dyDescent="0.3">
      <c r="B24" s="10" t="s">
        <v>40</v>
      </c>
      <c r="C24" s="6" t="s">
        <v>41</v>
      </c>
      <c r="D24" s="6"/>
      <c r="E24" s="6"/>
      <c r="F24" s="6"/>
    </row>
    <row r="25" spans="2:6" ht="25.5" customHeight="1" x14ac:dyDescent="0.3">
      <c r="B25" s="10" t="s">
        <v>42</v>
      </c>
      <c r="C25" s="7" t="s">
        <v>43</v>
      </c>
      <c r="D25" s="7"/>
      <c r="E25" s="7"/>
      <c r="F25" s="7"/>
    </row>
    <row r="27" spans="2:6" ht="15.75" customHeight="1" x14ac:dyDescent="0.3">
      <c r="B27" s="5" t="s">
        <v>44</v>
      </c>
      <c r="C27" s="5"/>
      <c r="D27" s="5"/>
      <c r="E27" s="5"/>
      <c r="F27" s="5"/>
    </row>
    <row r="28" spans="2:6" ht="21.75" customHeight="1" x14ac:dyDescent="0.3">
      <c r="B28" s="11" t="s">
        <v>45</v>
      </c>
      <c r="C28" s="11" t="s">
        <v>46</v>
      </c>
      <c r="D28" s="11" t="s">
        <v>47</v>
      </c>
      <c r="E28" s="11" t="s">
        <v>48</v>
      </c>
      <c r="F28" s="11" t="s">
        <v>49</v>
      </c>
    </row>
    <row r="29" spans="2:6" ht="24" customHeight="1" x14ac:dyDescent="0.3">
      <c r="B29" s="12" t="s">
        <v>50</v>
      </c>
      <c r="C29" s="13" t="s">
        <v>51</v>
      </c>
      <c r="D29" s="13" t="s">
        <v>52</v>
      </c>
      <c r="E29" s="14" t="s">
        <v>53</v>
      </c>
      <c r="F29" s="15" t="s">
        <v>54</v>
      </c>
    </row>
    <row r="30" spans="2:6" ht="24" customHeight="1" x14ac:dyDescent="0.3">
      <c r="B30" s="16" t="s">
        <v>55</v>
      </c>
      <c r="C30" s="17" t="s">
        <v>56</v>
      </c>
      <c r="D30" s="17" t="s">
        <v>57</v>
      </c>
      <c r="E30" s="18" t="s">
        <v>58</v>
      </c>
      <c r="F30" s="19" t="s">
        <v>59</v>
      </c>
    </row>
    <row r="31" spans="2:6" ht="24" customHeight="1" x14ac:dyDescent="0.3">
      <c r="B31" s="20" t="s">
        <v>60</v>
      </c>
      <c r="C31" s="13" t="s">
        <v>61</v>
      </c>
      <c r="D31" s="13" t="s">
        <v>62</v>
      </c>
      <c r="E31" s="14" t="s">
        <v>63</v>
      </c>
      <c r="F31" s="15" t="s">
        <v>64</v>
      </c>
    </row>
    <row r="32" spans="2:6" ht="24" customHeight="1" x14ac:dyDescent="0.3">
      <c r="B32" s="16" t="s">
        <v>65</v>
      </c>
      <c r="C32" s="17" t="s">
        <v>66</v>
      </c>
      <c r="D32" s="17" t="s">
        <v>67</v>
      </c>
      <c r="E32" s="18" t="s">
        <v>68</v>
      </c>
      <c r="F32" s="19" t="s">
        <v>69</v>
      </c>
    </row>
    <row r="34" spans="2:6" ht="15.75" customHeight="1" x14ac:dyDescent="0.3">
      <c r="B34" s="4" t="s">
        <v>70</v>
      </c>
      <c r="C34" s="4"/>
      <c r="D34" s="4"/>
      <c r="E34" s="4"/>
      <c r="F34" s="4"/>
    </row>
    <row r="35" spans="2:6" ht="25.5" customHeight="1" x14ac:dyDescent="0.3">
      <c r="B35" s="3" t="s">
        <v>71</v>
      </c>
      <c r="C35" s="3"/>
      <c r="D35" s="3"/>
      <c r="E35" s="3"/>
      <c r="F35" s="3"/>
    </row>
    <row r="36" spans="2:6" ht="21.75" customHeight="1" x14ac:dyDescent="0.3">
      <c r="B36" s="2" t="s">
        <v>72</v>
      </c>
      <c r="C36" s="2"/>
      <c r="D36" s="2"/>
      <c r="E36" s="2"/>
      <c r="F36" s="2"/>
    </row>
  </sheetData>
  <mergeCells count="27">
    <mergeCell ref="B35:F35"/>
    <mergeCell ref="B36:F36"/>
    <mergeCell ref="C23:F23"/>
    <mergeCell ref="C24:F24"/>
    <mergeCell ref="C25:F25"/>
    <mergeCell ref="B27:F27"/>
    <mergeCell ref="B34:F34"/>
    <mergeCell ref="C18:F18"/>
    <mergeCell ref="C19:F19"/>
    <mergeCell ref="C20:F20"/>
    <mergeCell ref="C21:F21"/>
    <mergeCell ref="C22:F22"/>
    <mergeCell ref="C13:F13"/>
    <mergeCell ref="C14:F14"/>
    <mergeCell ref="C15:F15"/>
    <mergeCell ref="C16:F16"/>
    <mergeCell ref="C17:F17"/>
    <mergeCell ref="C8:F8"/>
    <mergeCell ref="C9:F9"/>
    <mergeCell ref="C10:F10"/>
    <mergeCell ref="C11:F11"/>
    <mergeCell ref="C12:F12"/>
    <mergeCell ref="B2:F2"/>
    <mergeCell ref="B3:F3"/>
    <mergeCell ref="C5:F5"/>
    <mergeCell ref="C6:F6"/>
    <mergeCell ref="C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6"/>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8" customWidth="1"/>
    <col min="3" max="3" width="36" customWidth="1"/>
    <col min="4" max="5" width="32" customWidth="1"/>
    <col min="6" max="6" width="24" customWidth="1"/>
    <col min="7" max="7" width="22" customWidth="1"/>
    <col min="8" max="8" width="18" customWidth="1"/>
  </cols>
  <sheetData>
    <row r="2" spans="2:8" ht="25.5" customHeight="1" x14ac:dyDescent="0.3">
      <c r="B2" s="1" t="s">
        <v>73</v>
      </c>
      <c r="C2" s="1"/>
      <c r="D2" s="1"/>
      <c r="E2" s="1"/>
      <c r="F2" s="1"/>
      <c r="G2" s="1"/>
      <c r="H2" s="1"/>
    </row>
    <row r="4" spans="2:8" ht="19.5" customHeight="1" x14ac:dyDescent="0.3">
      <c r="B4" s="11" t="s">
        <v>74</v>
      </c>
      <c r="C4" s="11" t="s">
        <v>75</v>
      </c>
      <c r="D4" s="11" t="s">
        <v>76</v>
      </c>
      <c r="E4" s="11" t="s">
        <v>77</v>
      </c>
      <c r="F4" s="11" t="s">
        <v>78</v>
      </c>
      <c r="G4" s="11" t="s">
        <v>79</v>
      </c>
      <c r="H4" s="11" t="s">
        <v>80</v>
      </c>
    </row>
    <row r="5" spans="2:8" ht="72" customHeight="1" x14ac:dyDescent="0.3">
      <c r="B5" s="21" t="s">
        <v>81</v>
      </c>
      <c r="C5" s="13" t="s">
        <v>82</v>
      </c>
      <c r="D5" s="22" t="s">
        <v>83</v>
      </c>
      <c r="E5" s="23" t="s">
        <v>84</v>
      </c>
      <c r="F5" s="24" t="s">
        <v>85</v>
      </c>
      <c r="G5" s="25" t="s">
        <v>86</v>
      </c>
      <c r="H5" s="26" t="s">
        <v>87</v>
      </c>
    </row>
    <row r="6" spans="2:8" ht="72" customHeight="1" x14ac:dyDescent="0.3">
      <c r="B6" s="21" t="s">
        <v>88</v>
      </c>
      <c r="C6" s="17" t="s">
        <v>89</v>
      </c>
      <c r="D6" s="22" t="s">
        <v>90</v>
      </c>
      <c r="E6" s="23" t="s">
        <v>91</v>
      </c>
      <c r="F6" s="24" t="s">
        <v>92</v>
      </c>
      <c r="G6" s="25" t="s">
        <v>93</v>
      </c>
      <c r="H6" s="27" t="s">
        <v>94</v>
      </c>
    </row>
    <row r="7" spans="2:8" ht="72" customHeight="1" x14ac:dyDescent="0.3">
      <c r="B7" s="21" t="s">
        <v>95</v>
      </c>
      <c r="C7" s="13" t="s">
        <v>96</v>
      </c>
      <c r="D7" s="22" t="s">
        <v>97</v>
      </c>
      <c r="E7" s="23" t="s">
        <v>98</v>
      </c>
      <c r="F7" s="24" t="s">
        <v>85</v>
      </c>
      <c r="G7" s="25" t="s">
        <v>99</v>
      </c>
      <c r="H7" s="28" t="s">
        <v>100</v>
      </c>
    </row>
    <row r="8" spans="2:8" ht="72" customHeight="1" x14ac:dyDescent="0.3">
      <c r="B8" s="21" t="s">
        <v>101</v>
      </c>
      <c r="C8" s="17" t="s">
        <v>102</v>
      </c>
      <c r="D8" s="22" t="s">
        <v>103</v>
      </c>
      <c r="E8" s="23" t="s">
        <v>104</v>
      </c>
      <c r="F8" s="24" t="s">
        <v>105</v>
      </c>
      <c r="G8" s="25" t="s">
        <v>106</v>
      </c>
      <c r="H8" s="27" t="s">
        <v>107</v>
      </c>
    </row>
    <row r="9" spans="2:8" ht="72" customHeight="1" x14ac:dyDescent="0.3">
      <c r="B9" s="21" t="s">
        <v>108</v>
      </c>
      <c r="C9" s="13" t="s">
        <v>109</v>
      </c>
      <c r="D9" s="22" t="s">
        <v>110</v>
      </c>
      <c r="E9" s="23" t="s">
        <v>111</v>
      </c>
      <c r="F9" s="24" t="s">
        <v>112</v>
      </c>
      <c r="G9" s="25" t="s">
        <v>113</v>
      </c>
      <c r="H9" s="27" t="s">
        <v>114</v>
      </c>
    </row>
    <row r="10" spans="2:8" ht="72" customHeight="1" x14ac:dyDescent="0.3">
      <c r="B10" s="21" t="s">
        <v>115</v>
      </c>
      <c r="C10" s="17" t="s">
        <v>116</v>
      </c>
      <c r="D10" s="22" t="s">
        <v>117</v>
      </c>
      <c r="E10" s="23" t="s">
        <v>118</v>
      </c>
      <c r="F10" s="24" t="s">
        <v>119</v>
      </c>
      <c r="G10" s="25" t="s">
        <v>120</v>
      </c>
      <c r="H10" s="27" t="s">
        <v>121</v>
      </c>
    </row>
    <row r="11" spans="2:8" ht="72" customHeight="1" x14ac:dyDescent="0.3">
      <c r="B11" s="21" t="s">
        <v>122</v>
      </c>
      <c r="C11" s="13" t="s">
        <v>123</v>
      </c>
      <c r="D11" s="22" t="s">
        <v>124</v>
      </c>
      <c r="E11" s="23" t="s">
        <v>125</v>
      </c>
      <c r="F11" s="24" t="s">
        <v>126</v>
      </c>
      <c r="G11" s="25" t="s">
        <v>127</v>
      </c>
      <c r="H11" s="27" t="s">
        <v>121</v>
      </c>
    </row>
    <row r="12" spans="2:8" ht="72" customHeight="1" x14ac:dyDescent="0.3">
      <c r="B12" s="21" t="s">
        <v>128</v>
      </c>
      <c r="C12" s="17" t="s">
        <v>129</v>
      </c>
      <c r="D12" s="22" t="s">
        <v>130</v>
      </c>
      <c r="E12" s="23" t="s">
        <v>131</v>
      </c>
      <c r="F12" s="24" t="s">
        <v>132</v>
      </c>
      <c r="G12" s="25" t="s">
        <v>133</v>
      </c>
      <c r="H12" s="27" t="s">
        <v>134</v>
      </c>
    </row>
    <row r="13" spans="2:8" ht="72" customHeight="1" x14ac:dyDescent="0.3">
      <c r="B13" s="21" t="s">
        <v>135</v>
      </c>
      <c r="C13" s="13" t="s">
        <v>136</v>
      </c>
      <c r="D13" s="22" t="s">
        <v>137</v>
      </c>
      <c r="E13" s="23" t="s">
        <v>138</v>
      </c>
      <c r="F13" s="24" t="s">
        <v>139</v>
      </c>
      <c r="G13" s="25" t="s">
        <v>140</v>
      </c>
      <c r="H13" s="27" t="s">
        <v>141</v>
      </c>
    </row>
    <row r="14" spans="2:8" ht="72" customHeight="1" x14ac:dyDescent="0.3">
      <c r="B14" s="21" t="s">
        <v>142</v>
      </c>
      <c r="C14" s="17" t="s">
        <v>143</v>
      </c>
      <c r="D14" s="22" t="s">
        <v>144</v>
      </c>
      <c r="E14" s="23" t="s">
        <v>145</v>
      </c>
      <c r="F14" s="24" t="s">
        <v>146</v>
      </c>
      <c r="G14" s="25" t="s">
        <v>147</v>
      </c>
      <c r="H14" s="27" t="s">
        <v>148</v>
      </c>
    </row>
    <row r="15" spans="2:8" ht="72" customHeight="1" x14ac:dyDescent="0.3">
      <c r="B15" s="21" t="s">
        <v>149</v>
      </c>
      <c r="C15" s="13" t="s">
        <v>150</v>
      </c>
      <c r="D15" s="22" t="s">
        <v>151</v>
      </c>
      <c r="E15" s="23" t="s">
        <v>152</v>
      </c>
      <c r="F15" s="24" t="s">
        <v>153</v>
      </c>
      <c r="G15" s="25" t="s">
        <v>154</v>
      </c>
      <c r="H15" s="27" t="s">
        <v>155</v>
      </c>
    </row>
    <row r="16" spans="2:8" ht="72" customHeight="1" x14ac:dyDescent="0.3">
      <c r="B16" s="21" t="s">
        <v>156</v>
      </c>
      <c r="C16" s="17" t="s">
        <v>157</v>
      </c>
      <c r="D16" s="22" t="s">
        <v>158</v>
      </c>
      <c r="E16" s="23" t="s">
        <v>159</v>
      </c>
      <c r="F16" s="24" t="s">
        <v>160</v>
      </c>
      <c r="G16" s="25" t="s">
        <v>161</v>
      </c>
      <c r="H16" s="27" t="s">
        <v>162</v>
      </c>
    </row>
  </sheetData>
  <mergeCells count="1">
    <mergeCell ref="B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58"/>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9" customWidth="1"/>
    <col min="3" max="3" width="12" customWidth="1"/>
    <col min="4" max="4" width="32" customWidth="1"/>
    <col min="5" max="5" width="30" customWidth="1"/>
    <col min="6" max="6" width="36" customWidth="1"/>
    <col min="7" max="7" width="30" customWidth="1"/>
    <col min="8" max="8" width="16" customWidth="1"/>
    <col min="9" max="9" width="28" customWidth="1"/>
  </cols>
  <sheetData>
    <row r="2" spans="2:9" ht="25.5" customHeight="1" x14ac:dyDescent="0.3">
      <c r="B2" s="1" t="s">
        <v>163</v>
      </c>
      <c r="C2" s="1"/>
      <c r="D2" s="1"/>
      <c r="E2" s="1"/>
      <c r="F2" s="1"/>
      <c r="G2" s="1"/>
      <c r="H2" s="1"/>
      <c r="I2" s="1"/>
    </row>
    <row r="4" spans="2:9" ht="19.5" customHeight="1" x14ac:dyDescent="0.3">
      <c r="B4" s="11" t="s">
        <v>74</v>
      </c>
      <c r="C4" s="11" t="s">
        <v>164</v>
      </c>
      <c r="D4" s="11" t="s">
        <v>165</v>
      </c>
      <c r="E4" s="11" t="s">
        <v>166</v>
      </c>
      <c r="F4" s="11" t="s">
        <v>167</v>
      </c>
      <c r="G4" s="11" t="s">
        <v>168</v>
      </c>
      <c r="H4" s="11" t="s">
        <v>169</v>
      </c>
      <c r="I4" s="11" t="s">
        <v>170</v>
      </c>
    </row>
    <row r="5" spans="2:9" ht="15.75" customHeight="1" x14ac:dyDescent="0.3">
      <c r="B5" s="5" t="s">
        <v>171</v>
      </c>
      <c r="C5" s="5"/>
      <c r="D5" s="5"/>
      <c r="E5" s="5"/>
      <c r="F5" s="5"/>
      <c r="G5" s="5"/>
      <c r="H5" s="5"/>
      <c r="I5" s="5"/>
    </row>
    <row r="6" spans="2:9" ht="18" customHeight="1" x14ac:dyDescent="0.3">
      <c r="B6" s="11" t="s">
        <v>74</v>
      </c>
      <c r="C6" s="11" t="s">
        <v>164</v>
      </c>
      <c r="D6" s="11" t="s">
        <v>165</v>
      </c>
      <c r="E6" s="11" t="s">
        <v>166</v>
      </c>
      <c r="F6" s="11" t="s">
        <v>167</v>
      </c>
      <c r="G6" s="11" t="s">
        <v>168</v>
      </c>
      <c r="H6" s="11" t="s">
        <v>169</v>
      </c>
      <c r="I6" s="11" t="s">
        <v>170</v>
      </c>
    </row>
    <row r="7" spans="2:9" ht="72" customHeight="1" x14ac:dyDescent="0.3">
      <c r="B7" s="21" t="s">
        <v>172</v>
      </c>
      <c r="C7" s="21" t="s">
        <v>173</v>
      </c>
      <c r="D7" s="29" t="s">
        <v>174</v>
      </c>
      <c r="E7" s="30" t="s">
        <v>175</v>
      </c>
      <c r="F7" s="31" t="s">
        <v>176</v>
      </c>
      <c r="G7" s="32" t="s">
        <v>177</v>
      </c>
      <c r="H7" s="33" t="s">
        <v>178</v>
      </c>
      <c r="I7" s="34" t="s">
        <v>179</v>
      </c>
    </row>
    <row r="8" spans="2:9" ht="72" customHeight="1" x14ac:dyDescent="0.3">
      <c r="B8" s="21" t="s">
        <v>180</v>
      </c>
      <c r="C8" s="21" t="s">
        <v>173</v>
      </c>
      <c r="D8" s="35" t="s">
        <v>181</v>
      </c>
      <c r="E8" s="36" t="s">
        <v>182</v>
      </c>
      <c r="F8" s="37" t="s">
        <v>183</v>
      </c>
      <c r="G8" s="32" t="s">
        <v>184</v>
      </c>
      <c r="H8" s="33" t="s">
        <v>178</v>
      </c>
      <c r="I8" s="38" t="s">
        <v>185</v>
      </c>
    </row>
    <row r="9" spans="2:9" ht="15.75" customHeight="1" x14ac:dyDescent="0.3">
      <c r="B9" s="5" t="s">
        <v>186</v>
      </c>
      <c r="C9" s="5"/>
      <c r="D9" s="5"/>
      <c r="E9" s="5"/>
      <c r="F9" s="5"/>
      <c r="G9" s="5"/>
      <c r="H9" s="5"/>
      <c r="I9" s="5"/>
    </row>
    <row r="10" spans="2:9" ht="18" customHeight="1" x14ac:dyDescent="0.3">
      <c r="B10" s="11" t="s">
        <v>74</v>
      </c>
      <c r="C10" s="11" t="s">
        <v>164</v>
      </c>
      <c r="D10" s="11" t="s">
        <v>165</v>
      </c>
      <c r="E10" s="11" t="s">
        <v>166</v>
      </c>
      <c r="F10" s="11" t="s">
        <v>167</v>
      </c>
      <c r="G10" s="11" t="s">
        <v>168</v>
      </c>
      <c r="H10" s="11" t="s">
        <v>169</v>
      </c>
      <c r="I10" s="11" t="s">
        <v>170</v>
      </c>
    </row>
    <row r="11" spans="2:9" ht="72" customHeight="1" x14ac:dyDescent="0.3">
      <c r="B11" s="39" t="s">
        <v>187</v>
      </c>
      <c r="C11" s="39" t="s">
        <v>188</v>
      </c>
      <c r="D11" s="29" t="s">
        <v>189</v>
      </c>
      <c r="E11" s="30" t="s">
        <v>190</v>
      </c>
      <c r="F11" s="31" t="s">
        <v>191</v>
      </c>
      <c r="G11" s="32" t="s">
        <v>192</v>
      </c>
      <c r="H11" s="33" t="s">
        <v>193</v>
      </c>
      <c r="I11" s="34" t="s">
        <v>194</v>
      </c>
    </row>
    <row r="12" spans="2:9" ht="72" customHeight="1" x14ac:dyDescent="0.3">
      <c r="B12" s="40" t="s">
        <v>195</v>
      </c>
      <c r="C12" s="40" t="s">
        <v>196</v>
      </c>
      <c r="D12" s="35" t="s">
        <v>197</v>
      </c>
      <c r="E12" s="36" t="s">
        <v>198</v>
      </c>
      <c r="F12" s="37" t="s">
        <v>199</v>
      </c>
      <c r="G12" s="32" t="s">
        <v>200</v>
      </c>
      <c r="H12" s="33" t="s">
        <v>178</v>
      </c>
      <c r="I12" s="38" t="s">
        <v>201</v>
      </c>
    </row>
    <row r="13" spans="2:9" ht="72" customHeight="1" x14ac:dyDescent="0.3">
      <c r="B13" s="39" t="s">
        <v>202</v>
      </c>
      <c r="C13" s="39" t="s">
        <v>188</v>
      </c>
      <c r="D13" s="29" t="s">
        <v>203</v>
      </c>
      <c r="E13" s="30" t="s">
        <v>46</v>
      </c>
      <c r="F13" s="31" t="s">
        <v>204</v>
      </c>
      <c r="G13" s="32" t="s">
        <v>205</v>
      </c>
      <c r="H13" s="33" t="s">
        <v>193</v>
      </c>
      <c r="I13" s="34" t="s">
        <v>206</v>
      </c>
    </row>
    <row r="14" spans="2:9" ht="72" customHeight="1" x14ac:dyDescent="0.3">
      <c r="B14" s="40" t="s">
        <v>207</v>
      </c>
      <c r="C14" s="40" t="s">
        <v>196</v>
      </c>
      <c r="D14" s="35" t="s">
        <v>208</v>
      </c>
      <c r="E14" s="36" t="s">
        <v>209</v>
      </c>
      <c r="F14" s="37" t="s">
        <v>210</v>
      </c>
      <c r="G14" s="32" t="s">
        <v>211</v>
      </c>
      <c r="H14" s="33" t="s">
        <v>178</v>
      </c>
      <c r="I14" s="38" t="s">
        <v>212</v>
      </c>
    </row>
    <row r="15" spans="2:9" ht="15.75" customHeight="1" x14ac:dyDescent="0.3">
      <c r="B15" s="5" t="s">
        <v>213</v>
      </c>
      <c r="C15" s="5"/>
      <c r="D15" s="5"/>
      <c r="E15" s="5"/>
      <c r="F15" s="5"/>
      <c r="G15" s="5"/>
      <c r="H15" s="5"/>
      <c r="I15" s="5"/>
    </row>
    <row r="16" spans="2:9" ht="18" customHeight="1" x14ac:dyDescent="0.3">
      <c r="B16" s="11" t="s">
        <v>74</v>
      </c>
      <c r="C16" s="11" t="s">
        <v>164</v>
      </c>
      <c r="D16" s="11" t="s">
        <v>165</v>
      </c>
      <c r="E16" s="11" t="s">
        <v>166</v>
      </c>
      <c r="F16" s="11" t="s">
        <v>167</v>
      </c>
      <c r="G16" s="11" t="s">
        <v>168</v>
      </c>
      <c r="H16" s="11" t="s">
        <v>169</v>
      </c>
      <c r="I16" s="11" t="s">
        <v>170</v>
      </c>
    </row>
    <row r="17" spans="2:9" ht="72" customHeight="1" x14ac:dyDescent="0.3">
      <c r="B17" s="21" t="s">
        <v>214</v>
      </c>
      <c r="C17" s="21" t="s">
        <v>173</v>
      </c>
      <c r="D17" s="29" t="s">
        <v>215</v>
      </c>
      <c r="E17" s="30" t="s">
        <v>216</v>
      </c>
      <c r="F17" s="31" t="s">
        <v>217</v>
      </c>
      <c r="G17" s="32" t="s">
        <v>218</v>
      </c>
      <c r="H17" s="33" t="s">
        <v>178</v>
      </c>
      <c r="I17" s="34" t="s">
        <v>219</v>
      </c>
    </row>
    <row r="18" spans="2:9" ht="72" customHeight="1" x14ac:dyDescent="0.3">
      <c r="B18" s="39" t="s">
        <v>220</v>
      </c>
      <c r="C18" s="39" t="s">
        <v>188</v>
      </c>
      <c r="D18" s="35" t="s">
        <v>221</v>
      </c>
      <c r="E18" s="36" t="s">
        <v>222</v>
      </c>
      <c r="F18" s="37" t="s">
        <v>223</v>
      </c>
      <c r="G18" s="32" t="s">
        <v>224</v>
      </c>
      <c r="H18" s="33" t="s">
        <v>225</v>
      </c>
      <c r="I18" s="38" t="s">
        <v>226</v>
      </c>
    </row>
    <row r="19" spans="2:9" ht="15.75" customHeight="1" x14ac:dyDescent="0.3">
      <c r="B19" s="5" t="s">
        <v>227</v>
      </c>
      <c r="C19" s="5"/>
      <c r="D19" s="5"/>
      <c r="E19" s="5"/>
      <c r="F19" s="5"/>
      <c r="G19" s="5"/>
      <c r="H19" s="5"/>
      <c r="I19" s="5"/>
    </row>
    <row r="20" spans="2:9" ht="18" customHeight="1" x14ac:dyDescent="0.3">
      <c r="B20" s="11" t="s">
        <v>74</v>
      </c>
      <c r="C20" s="11" t="s">
        <v>164</v>
      </c>
      <c r="D20" s="11" t="s">
        <v>165</v>
      </c>
      <c r="E20" s="11" t="s">
        <v>166</v>
      </c>
      <c r="F20" s="11" t="s">
        <v>167</v>
      </c>
      <c r="G20" s="11" t="s">
        <v>168</v>
      </c>
      <c r="H20" s="11" t="s">
        <v>169</v>
      </c>
      <c r="I20" s="11" t="s">
        <v>170</v>
      </c>
    </row>
    <row r="21" spans="2:9" ht="72" customHeight="1" x14ac:dyDescent="0.3">
      <c r="B21" s="41" t="s">
        <v>228</v>
      </c>
      <c r="C21" s="41" t="s">
        <v>229</v>
      </c>
      <c r="D21" s="29" t="s">
        <v>230</v>
      </c>
      <c r="E21" s="30" t="s">
        <v>231</v>
      </c>
      <c r="F21" s="31" t="s">
        <v>232</v>
      </c>
      <c r="G21" s="32" t="s">
        <v>233</v>
      </c>
      <c r="H21" s="33" t="s">
        <v>178</v>
      </c>
      <c r="I21" s="34" t="s">
        <v>234</v>
      </c>
    </row>
    <row r="22" spans="2:9" ht="72" customHeight="1" x14ac:dyDescent="0.3">
      <c r="B22" s="41" t="s">
        <v>235</v>
      </c>
      <c r="C22" s="41" t="s">
        <v>229</v>
      </c>
      <c r="D22" s="35" t="s">
        <v>236</v>
      </c>
      <c r="E22" s="36" t="s">
        <v>237</v>
      </c>
      <c r="F22" s="37" t="s">
        <v>238</v>
      </c>
      <c r="G22" s="32" t="s">
        <v>239</v>
      </c>
      <c r="H22" s="33" t="s">
        <v>178</v>
      </c>
      <c r="I22" s="34" t="s">
        <v>240</v>
      </c>
    </row>
    <row r="23" spans="2:9" ht="72" customHeight="1" x14ac:dyDescent="0.3">
      <c r="B23" s="41" t="s">
        <v>241</v>
      </c>
      <c r="C23" s="41" t="s">
        <v>229</v>
      </c>
      <c r="D23" s="29" t="s">
        <v>242</v>
      </c>
      <c r="E23" s="30" t="s">
        <v>243</v>
      </c>
      <c r="F23" s="31" t="s">
        <v>244</v>
      </c>
      <c r="G23" s="32" t="s">
        <v>245</v>
      </c>
      <c r="H23" s="33" t="s">
        <v>178</v>
      </c>
      <c r="I23" s="34" t="s">
        <v>246</v>
      </c>
    </row>
    <row r="24" spans="2:9" ht="72" customHeight="1" x14ac:dyDescent="0.3">
      <c r="B24" s="41" t="s">
        <v>247</v>
      </c>
      <c r="C24" s="41" t="s">
        <v>229</v>
      </c>
      <c r="D24" s="35" t="s">
        <v>248</v>
      </c>
      <c r="E24" s="36" t="s">
        <v>249</v>
      </c>
      <c r="F24" s="37" t="s">
        <v>250</v>
      </c>
      <c r="G24" s="32" t="s">
        <v>251</v>
      </c>
      <c r="H24" s="33" t="s">
        <v>178</v>
      </c>
      <c r="I24" s="38" t="s">
        <v>252</v>
      </c>
    </row>
    <row r="25" spans="2:9" ht="72" customHeight="1" x14ac:dyDescent="0.3">
      <c r="B25" s="41" t="s">
        <v>253</v>
      </c>
      <c r="C25" s="41" t="s">
        <v>229</v>
      </c>
      <c r="D25" s="29" t="s">
        <v>254</v>
      </c>
      <c r="E25" s="30" t="s">
        <v>255</v>
      </c>
      <c r="F25" s="31" t="s">
        <v>256</v>
      </c>
      <c r="G25" s="32" t="s">
        <v>257</v>
      </c>
      <c r="H25" s="33" t="s">
        <v>178</v>
      </c>
      <c r="I25" s="34" t="s">
        <v>258</v>
      </c>
    </row>
    <row r="26" spans="2:9" ht="15.75" customHeight="1" x14ac:dyDescent="0.3">
      <c r="B26" s="5" t="s">
        <v>259</v>
      </c>
      <c r="C26" s="5"/>
      <c r="D26" s="5"/>
      <c r="E26" s="5"/>
      <c r="F26" s="5"/>
      <c r="G26" s="5"/>
      <c r="H26" s="5"/>
      <c r="I26" s="5"/>
    </row>
    <row r="27" spans="2:9" ht="18" customHeight="1" x14ac:dyDescent="0.3">
      <c r="B27" s="11" t="s">
        <v>74</v>
      </c>
      <c r="C27" s="11" t="s">
        <v>164</v>
      </c>
      <c r="D27" s="11" t="s">
        <v>165</v>
      </c>
      <c r="E27" s="11" t="s">
        <v>166</v>
      </c>
      <c r="F27" s="11" t="s">
        <v>167</v>
      </c>
      <c r="G27" s="11" t="s">
        <v>168</v>
      </c>
      <c r="H27" s="11" t="s">
        <v>169</v>
      </c>
      <c r="I27" s="11" t="s">
        <v>170</v>
      </c>
    </row>
    <row r="28" spans="2:9" ht="72" customHeight="1" x14ac:dyDescent="0.3">
      <c r="B28" s="33" t="s">
        <v>260</v>
      </c>
      <c r="C28" s="33" t="s">
        <v>261</v>
      </c>
      <c r="D28" s="35" t="s">
        <v>262</v>
      </c>
      <c r="E28" s="36" t="s">
        <v>263</v>
      </c>
      <c r="F28" s="37" t="s">
        <v>264</v>
      </c>
      <c r="G28" s="32" t="s">
        <v>265</v>
      </c>
      <c r="H28" s="33" t="s">
        <v>178</v>
      </c>
      <c r="I28" s="38" t="s">
        <v>266</v>
      </c>
    </row>
    <row r="29" spans="2:9" ht="72" customHeight="1" x14ac:dyDescent="0.3">
      <c r="B29" s="39" t="s">
        <v>267</v>
      </c>
      <c r="C29" s="39" t="s">
        <v>188</v>
      </c>
      <c r="D29" s="29" t="s">
        <v>268</v>
      </c>
      <c r="E29" s="30" t="s">
        <v>269</v>
      </c>
      <c r="F29" s="31" t="s">
        <v>270</v>
      </c>
      <c r="G29" s="32" t="s">
        <v>271</v>
      </c>
      <c r="H29" s="33" t="s">
        <v>225</v>
      </c>
      <c r="I29" s="34" t="s">
        <v>272</v>
      </c>
    </row>
    <row r="30" spans="2:9" ht="15.75" customHeight="1" x14ac:dyDescent="0.3">
      <c r="B30" s="5" t="s">
        <v>273</v>
      </c>
      <c r="C30" s="5"/>
      <c r="D30" s="5"/>
      <c r="E30" s="5"/>
      <c r="F30" s="5"/>
      <c r="G30" s="5"/>
      <c r="H30" s="5"/>
      <c r="I30" s="5"/>
    </row>
    <row r="31" spans="2:9" ht="18" customHeight="1" x14ac:dyDescent="0.3">
      <c r="B31" s="11" t="s">
        <v>74</v>
      </c>
      <c r="C31" s="11" t="s">
        <v>164</v>
      </c>
      <c r="D31" s="11" t="s">
        <v>165</v>
      </c>
      <c r="E31" s="11" t="s">
        <v>166</v>
      </c>
      <c r="F31" s="11" t="s">
        <v>167</v>
      </c>
      <c r="G31" s="11" t="s">
        <v>168</v>
      </c>
      <c r="H31" s="11" t="s">
        <v>169</v>
      </c>
      <c r="I31" s="11" t="s">
        <v>170</v>
      </c>
    </row>
    <row r="32" spans="2:9" ht="72" customHeight="1" x14ac:dyDescent="0.3">
      <c r="B32" s="21" t="s">
        <v>274</v>
      </c>
      <c r="C32" s="21" t="s">
        <v>173</v>
      </c>
      <c r="D32" s="35" t="s">
        <v>275</v>
      </c>
      <c r="E32" s="36" t="s">
        <v>276</v>
      </c>
      <c r="F32" s="37" t="s">
        <v>277</v>
      </c>
      <c r="G32" s="32" t="s">
        <v>278</v>
      </c>
      <c r="H32" s="33" t="s">
        <v>225</v>
      </c>
      <c r="I32" s="34" t="s">
        <v>279</v>
      </c>
    </row>
    <row r="33" spans="2:9" ht="72" customHeight="1" x14ac:dyDescent="0.3">
      <c r="B33" s="12" t="s">
        <v>280</v>
      </c>
      <c r="C33" s="12" t="s">
        <v>281</v>
      </c>
      <c r="D33" s="29" t="s">
        <v>282</v>
      </c>
      <c r="E33" s="30" t="s">
        <v>283</v>
      </c>
      <c r="F33" s="31" t="s">
        <v>284</v>
      </c>
      <c r="G33" s="32" t="s">
        <v>285</v>
      </c>
      <c r="H33" s="33" t="s">
        <v>286</v>
      </c>
      <c r="I33" s="38" t="s">
        <v>287</v>
      </c>
    </row>
    <row r="34" spans="2:9" ht="15.75" customHeight="1" x14ac:dyDescent="0.3">
      <c r="B34" s="5" t="s">
        <v>288</v>
      </c>
      <c r="C34" s="5"/>
      <c r="D34" s="5"/>
      <c r="E34" s="5"/>
      <c r="F34" s="5"/>
      <c r="G34" s="5"/>
      <c r="H34" s="5"/>
      <c r="I34" s="5"/>
    </row>
    <row r="35" spans="2:9" ht="18" customHeight="1" x14ac:dyDescent="0.3">
      <c r="B35" s="11" t="s">
        <v>74</v>
      </c>
      <c r="C35" s="11" t="s">
        <v>164</v>
      </c>
      <c r="D35" s="11" t="s">
        <v>165</v>
      </c>
      <c r="E35" s="11" t="s">
        <v>166</v>
      </c>
      <c r="F35" s="11" t="s">
        <v>167</v>
      </c>
      <c r="G35" s="11" t="s">
        <v>168</v>
      </c>
      <c r="H35" s="11" t="s">
        <v>169</v>
      </c>
      <c r="I35" s="11" t="s">
        <v>170</v>
      </c>
    </row>
    <row r="36" spans="2:9" ht="72" customHeight="1" x14ac:dyDescent="0.3">
      <c r="B36" s="12" t="s">
        <v>289</v>
      </c>
      <c r="C36" s="12" t="s">
        <v>281</v>
      </c>
      <c r="D36" s="35" t="s">
        <v>290</v>
      </c>
      <c r="E36" s="36" t="s">
        <v>291</v>
      </c>
      <c r="F36" s="37" t="s">
        <v>292</v>
      </c>
      <c r="G36" s="32" t="s">
        <v>293</v>
      </c>
      <c r="H36" s="33" t="s">
        <v>178</v>
      </c>
      <c r="I36" s="34" t="s">
        <v>294</v>
      </c>
    </row>
    <row r="37" spans="2:9" ht="72" customHeight="1" x14ac:dyDescent="0.3">
      <c r="B37" s="12" t="s">
        <v>295</v>
      </c>
      <c r="C37" s="12" t="s">
        <v>281</v>
      </c>
      <c r="D37" s="29" t="s">
        <v>296</v>
      </c>
      <c r="E37" s="30" t="s">
        <v>297</v>
      </c>
      <c r="F37" s="31" t="s">
        <v>298</v>
      </c>
      <c r="G37" s="32" t="s">
        <v>299</v>
      </c>
      <c r="H37" s="33" t="s">
        <v>178</v>
      </c>
      <c r="I37" s="34" t="s">
        <v>300</v>
      </c>
    </row>
    <row r="38" spans="2:9" ht="72" customHeight="1" x14ac:dyDescent="0.3">
      <c r="B38" s="12" t="s">
        <v>301</v>
      </c>
      <c r="C38" s="12" t="s">
        <v>281</v>
      </c>
      <c r="D38" s="35" t="s">
        <v>302</v>
      </c>
      <c r="E38" s="36" t="s">
        <v>303</v>
      </c>
      <c r="F38" s="37" t="s">
        <v>304</v>
      </c>
      <c r="G38" s="32" t="s">
        <v>305</v>
      </c>
      <c r="H38" s="33" t="s">
        <v>178</v>
      </c>
      <c r="I38" s="38" t="s">
        <v>306</v>
      </c>
    </row>
    <row r="39" spans="2:9" ht="72" customHeight="1" x14ac:dyDescent="0.3">
      <c r="B39" s="12" t="s">
        <v>307</v>
      </c>
      <c r="C39" s="12" t="s">
        <v>281</v>
      </c>
      <c r="D39" s="29" t="s">
        <v>308</v>
      </c>
      <c r="E39" s="30" t="s">
        <v>309</v>
      </c>
      <c r="F39" s="31" t="s">
        <v>310</v>
      </c>
      <c r="G39" s="32" t="s">
        <v>311</v>
      </c>
      <c r="H39" s="33" t="s">
        <v>178</v>
      </c>
      <c r="I39" s="34" t="s">
        <v>312</v>
      </c>
    </row>
    <row r="40" spans="2:9" ht="72" customHeight="1" x14ac:dyDescent="0.3">
      <c r="B40" s="12" t="s">
        <v>313</v>
      </c>
      <c r="C40" s="12" t="s">
        <v>281</v>
      </c>
      <c r="D40" s="35" t="s">
        <v>314</v>
      </c>
      <c r="E40" s="36" t="s">
        <v>315</v>
      </c>
      <c r="F40" s="37" t="s">
        <v>316</v>
      </c>
      <c r="G40" s="32" t="s">
        <v>317</v>
      </c>
      <c r="H40" s="33" t="s">
        <v>178</v>
      </c>
      <c r="I40" s="34" t="s">
        <v>318</v>
      </c>
    </row>
    <row r="41" spans="2:9" ht="72" customHeight="1" x14ac:dyDescent="0.3">
      <c r="B41" s="12" t="s">
        <v>319</v>
      </c>
      <c r="C41" s="12" t="s">
        <v>281</v>
      </c>
      <c r="D41" s="29" t="s">
        <v>320</v>
      </c>
      <c r="E41" s="30" t="s">
        <v>321</v>
      </c>
      <c r="F41" s="31" t="s">
        <v>322</v>
      </c>
      <c r="G41" s="32" t="s">
        <v>323</v>
      </c>
      <c r="H41" s="33" t="s">
        <v>178</v>
      </c>
      <c r="I41" s="34" t="s">
        <v>324</v>
      </c>
    </row>
    <row r="42" spans="2:9" ht="72" customHeight="1" x14ac:dyDescent="0.3">
      <c r="B42" s="12" t="s">
        <v>325</v>
      </c>
      <c r="C42" s="12" t="s">
        <v>281</v>
      </c>
      <c r="D42" s="35" t="s">
        <v>326</v>
      </c>
      <c r="E42" s="36" t="s">
        <v>327</v>
      </c>
      <c r="F42" s="37" t="s">
        <v>328</v>
      </c>
      <c r="G42" s="32" t="s">
        <v>329</v>
      </c>
      <c r="H42" s="33" t="s">
        <v>178</v>
      </c>
      <c r="I42" s="38" t="s">
        <v>330</v>
      </c>
    </row>
    <row r="43" spans="2:9" ht="72" customHeight="1" x14ac:dyDescent="0.3">
      <c r="B43" s="12" t="s">
        <v>331</v>
      </c>
      <c r="C43" s="12" t="s">
        <v>281</v>
      </c>
      <c r="D43" s="29" t="s">
        <v>332</v>
      </c>
      <c r="E43" s="30" t="s">
        <v>333</v>
      </c>
      <c r="F43" s="31" t="s">
        <v>334</v>
      </c>
      <c r="G43" s="32" t="s">
        <v>335</v>
      </c>
      <c r="H43" s="33" t="s">
        <v>178</v>
      </c>
      <c r="I43" s="38" t="s">
        <v>336</v>
      </c>
    </row>
    <row r="44" spans="2:9" ht="72" customHeight="1" x14ac:dyDescent="0.3">
      <c r="B44" s="39" t="s">
        <v>337</v>
      </c>
      <c r="C44" s="39" t="s">
        <v>188</v>
      </c>
      <c r="D44" s="35" t="s">
        <v>338</v>
      </c>
      <c r="E44" s="36" t="s">
        <v>339</v>
      </c>
      <c r="F44" s="37" t="s">
        <v>340</v>
      </c>
      <c r="G44" s="32" t="s">
        <v>341</v>
      </c>
      <c r="H44" s="33" t="s">
        <v>225</v>
      </c>
      <c r="I44" s="34" t="s">
        <v>342</v>
      </c>
    </row>
    <row r="45" spans="2:9" ht="72" customHeight="1" x14ac:dyDescent="0.3">
      <c r="B45" s="12" t="s">
        <v>343</v>
      </c>
      <c r="C45" s="12" t="s">
        <v>281</v>
      </c>
      <c r="D45" s="29" t="s">
        <v>344</v>
      </c>
      <c r="E45" s="30" t="s">
        <v>345</v>
      </c>
      <c r="F45" s="31" t="s">
        <v>346</v>
      </c>
      <c r="G45" s="32" t="s">
        <v>347</v>
      </c>
      <c r="H45" s="33" t="s">
        <v>178</v>
      </c>
      <c r="I45" s="34" t="s">
        <v>348</v>
      </c>
    </row>
    <row r="46" spans="2:9" ht="72" customHeight="1" x14ac:dyDescent="0.3">
      <c r="B46" s="12" t="s">
        <v>349</v>
      </c>
      <c r="C46" s="12" t="s">
        <v>281</v>
      </c>
      <c r="D46" s="35" t="s">
        <v>350</v>
      </c>
      <c r="E46" s="36" t="s">
        <v>351</v>
      </c>
      <c r="F46" s="37" t="s">
        <v>352</v>
      </c>
      <c r="G46" s="32" t="s">
        <v>353</v>
      </c>
      <c r="H46" s="33" t="s">
        <v>178</v>
      </c>
      <c r="I46" s="38" t="s">
        <v>354</v>
      </c>
    </row>
    <row r="47" spans="2:9" ht="15.75" customHeight="1" x14ac:dyDescent="0.3">
      <c r="B47" s="5" t="s">
        <v>355</v>
      </c>
      <c r="C47" s="5"/>
      <c r="D47" s="5"/>
      <c r="E47" s="5"/>
      <c r="F47" s="5"/>
      <c r="G47" s="5"/>
      <c r="H47" s="5"/>
      <c r="I47" s="5"/>
    </row>
    <row r="48" spans="2:9" ht="18" customHeight="1" x14ac:dyDescent="0.3">
      <c r="B48" s="11" t="s">
        <v>74</v>
      </c>
      <c r="C48" s="11" t="s">
        <v>164</v>
      </c>
      <c r="D48" s="11" t="s">
        <v>165</v>
      </c>
      <c r="E48" s="11" t="s">
        <v>166</v>
      </c>
      <c r="F48" s="11" t="s">
        <v>167</v>
      </c>
      <c r="G48" s="11" t="s">
        <v>168</v>
      </c>
      <c r="H48" s="11" t="s">
        <v>169</v>
      </c>
      <c r="I48" s="11" t="s">
        <v>170</v>
      </c>
    </row>
    <row r="49" spans="2:9" ht="72" customHeight="1" x14ac:dyDescent="0.3">
      <c r="B49" s="12" t="s">
        <v>356</v>
      </c>
      <c r="C49" s="12" t="s">
        <v>357</v>
      </c>
      <c r="D49" s="29" t="s">
        <v>358</v>
      </c>
      <c r="E49" s="30" t="s">
        <v>359</v>
      </c>
      <c r="F49" s="31" t="s">
        <v>360</v>
      </c>
      <c r="G49" s="32" t="s">
        <v>361</v>
      </c>
      <c r="H49" s="33" t="s">
        <v>178</v>
      </c>
      <c r="I49" s="34" t="s">
        <v>362</v>
      </c>
    </row>
    <row r="50" spans="2:9" ht="72" customHeight="1" x14ac:dyDescent="0.3">
      <c r="B50" s="12" t="s">
        <v>363</v>
      </c>
      <c r="C50" s="12" t="s">
        <v>357</v>
      </c>
      <c r="D50" s="35" t="s">
        <v>364</v>
      </c>
      <c r="E50" s="36" t="s">
        <v>365</v>
      </c>
      <c r="F50" s="37" t="s">
        <v>366</v>
      </c>
      <c r="G50" s="32" t="s">
        <v>367</v>
      </c>
      <c r="H50" s="33" t="s">
        <v>286</v>
      </c>
      <c r="I50" s="38" t="s">
        <v>368</v>
      </c>
    </row>
    <row r="51" spans="2:9" ht="72" customHeight="1" x14ac:dyDescent="0.3">
      <c r="B51" s="12" t="s">
        <v>369</v>
      </c>
      <c r="C51" s="12" t="s">
        <v>357</v>
      </c>
      <c r="D51" s="29" t="s">
        <v>370</v>
      </c>
      <c r="E51" s="30" t="s">
        <v>371</v>
      </c>
      <c r="F51" s="31" t="s">
        <v>372</v>
      </c>
      <c r="G51" s="32" t="s">
        <v>373</v>
      </c>
      <c r="H51" s="33" t="s">
        <v>178</v>
      </c>
      <c r="I51" s="34" t="s">
        <v>374</v>
      </c>
    </row>
    <row r="52" spans="2:9" ht="72" customHeight="1" x14ac:dyDescent="0.3">
      <c r="B52" s="12" t="s">
        <v>375</v>
      </c>
      <c r="C52" s="12" t="s">
        <v>357</v>
      </c>
      <c r="D52" s="35" t="s">
        <v>376</v>
      </c>
      <c r="E52" s="36" t="s">
        <v>377</v>
      </c>
      <c r="F52" s="37" t="s">
        <v>378</v>
      </c>
      <c r="G52" s="32" t="s">
        <v>379</v>
      </c>
      <c r="H52" s="33" t="s">
        <v>178</v>
      </c>
      <c r="I52" s="34" t="s">
        <v>380</v>
      </c>
    </row>
    <row r="53" spans="2:9" ht="15.75" customHeight="1" x14ac:dyDescent="0.3">
      <c r="B53" s="5" t="s">
        <v>381</v>
      </c>
      <c r="C53" s="5"/>
      <c r="D53" s="5"/>
      <c r="E53" s="5"/>
      <c r="F53" s="5"/>
      <c r="G53" s="5"/>
      <c r="H53" s="5"/>
      <c r="I53" s="5"/>
    </row>
    <row r="54" spans="2:9" ht="18" customHeight="1" x14ac:dyDescent="0.3">
      <c r="B54" s="11" t="s">
        <v>74</v>
      </c>
      <c r="C54" s="11" t="s">
        <v>164</v>
      </c>
      <c r="D54" s="11" t="s">
        <v>165</v>
      </c>
      <c r="E54" s="11" t="s">
        <v>166</v>
      </c>
      <c r="F54" s="11" t="s">
        <v>167</v>
      </c>
      <c r="G54" s="11" t="s">
        <v>168</v>
      </c>
      <c r="H54" s="11" t="s">
        <v>169</v>
      </c>
      <c r="I54" s="11" t="s">
        <v>170</v>
      </c>
    </row>
    <row r="55" spans="2:9" ht="72" customHeight="1" x14ac:dyDescent="0.3">
      <c r="B55" s="42" t="s">
        <v>382</v>
      </c>
      <c r="C55" s="42" t="s">
        <v>383</v>
      </c>
      <c r="D55" s="29" t="s">
        <v>384</v>
      </c>
      <c r="E55" s="30" t="s">
        <v>385</v>
      </c>
      <c r="F55" s="31" t="s">
        <v>386</v>
      </c>
      <c r="G55" s="32" t="s">
        <v>387</v>
      </c>
      <c r="H55" s="33" t="s">
        <v>178</v>
      </c>
      <c r="I55" s="34" t="s">
        <v>388</v>
      </c>
    </row>
    <row r="56" spans="2:9" ht="72" customHeight="1" x14ac:dyDescent="0.3">
      <c r="B56" s="41" t="s">
        <v>389</v>
      </c>
      <c r="C56" s="41" t="s">
        <v>229</v>
      </c>
      <c r="D56" s="35" t="s">
        <v>390</v>
      </c>
      <c r="E56" s="36" t="s">
        <v>391</v>
      </c>
      <c r="F56" s="37" t="s">
        <v>392</v>
      </c>
      <c r="G56" s="32" t="s">
        <v>393</v>
      </c>
      <c r="H56" s="33" t="s">
        <v>178</v>
      </c>
      <c r="I56" s="38" t="s">
        <v>394</v>
      </c>
    </row>
    <row r="57" spans="2:9" ht="72" customHeight="1" x14ac:dyDescent="0.3">
      <c r="B57" s="43" t="s">
        <v>395</v>
      </c>
      <c r="C57" s="43" t="s">
        <v>396</v>
      </c>
      <c r="D57" s="29" t="s">
        <v>397</v>
      </c>
      <c r="E57" s="30" t="s">
        <v>398</v>
      </c>
      <c r="F57" s="31" t="s">
        <v>399</v>
      </c>
      <c r="G57" s="32" t="s">
        <v>400</v>
      </c>
      <c r="H57" s="33" t="s">
        <v>178</v>
      </c>
      <c r="I57" s="34" t="s">
        <v>401</v>
      </c>
    </row>
    <row r="58" spans="2:9" ht="72" customHeight="1" x14ac:dyDescent="0.3">
      <c r="B58" s="43" t="s">
        <v>402</v>
      </c>
      <c r="C58" s="43" t="s">
        <v>396</v>
      </c>
      <c r="D58" s="35" t="s">
        <v>403</v>
      </c>
      <c r="E58" s="36" t="s">
        <v>404</v>
      </c>
      <c r="F58" s="37" t="s">
        <v>405</v>
      </c>
      <c r="G58" s="32" t="s">
        <v>406</v>
      </c>
      <c r="H58" s="33" t="s">
        <v>178</v>
      </c>
      <c r="I58" s="38" t="s">
        <v>407</v>
      </c>
    </row>
  </sheetData>
  <autoFilter ref="B4:I59" xr:uid="{00000000-0009-0000-0000-000002000000}"/>
  <mergeCells count="10">
    <mergeCell ref="B26:I26"/>
    <mergeCell ref="B30:I30"/>
    <mergeCell ref="B34:I34"/>
    <mergeCell ref="B47:I47"/>
    <mergeCell ref="B53:I53"/>
    <mergeCell ref="B2:I2"/>
    <mergeCell ref="B5:I5"/>
    <mergeCell ref="B9:I9"/>
    <mergeCell ref="B15:I15"/>
    <mergeCell ref="B19:I1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77"/>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10" customWidth="1"/>
    <col min="3" max="3" width="22" customWidth="1"/>
    <col min="4" max="4" width="10" customWidth="1"/>
    <col min="5" max="5" width="32" customWidth="1"/>
    <col min="6" max="6" width="18" customWidth="1"/>
    <col min="7" max="7" width="16" customWidth="1"/>
    <col min="8" max="8" width="20" customWidth="1"/>
    <col min="9" max="10" width="22" customWidth="1"/>
  </cols>
  <sheetData>
    <row r="2" spans="2:10" ht="25.5" customHeight="1" x14ac:dyDescent="0.3">
      <c r="B2" s="1" t="s">
        <v>408</v>
      </c>
      <c r="C2" s="1"/>
      <c r="D2" s="1"/>
      <c r="E2" s="1"/>
      <c r="F2" s="1"/>
      <c r="G2" s="1"/>
      <c r="H2" s="1"/>
      <c r="I2" s="1"/>
      <c r="J2" s="1"/>
    </row>
    <row r="4" spans="2:10" ht="15.75" customHeight="1" x14ac:dyDescent="0.3">
      <c r="B4" s="5" t="s">
        <v>409</v>
      </c>
      <c r="C4" s="5"/>
      <c r="D4" s="5"/>
      <c r="E4" s="5"/>
      <c r="F4" s="5"/>
      <c r="G4" s="5"/>
      <c r="H4" s="5"/>
      <c r="I4" s="5"/>
      <c r="J4" s="5"/>
    </row>
    <row r="5" spans="2:10" ht="15" customHeight="1" x14ac:dyDescent="0.3">
      <c r="B5" s="11" t="s">
        <v>410</v>
      </c>
      <c r="C5" s="11" t="s">
        <v>411</v>
      </c>
      <c r="D5" s="11" t="s">
        <v>412</v>
      </c>
      <c r="E5" s="11" t="s">
        <v>413</v>
      </c>
      <c r="F5" s="11" t="s">
        <v>414</v>
      </c>
      <c r="G5" s="11" t="s">
        <v>164</v>
      </c>
      <c r="H5" s="11" t="s">
        <v>415</v>
      </c>
      <c r="I5" s="11" t="s">
        <v>416</v>
      </c>
      <c r="J5" s="11" t="s">
        <v>417</v>
      </c>
    </row>
    <row r="6" spans="2:10" ht="31.5" customHeight="1" x14ac:dyDescent="0.3">
      <c r="B6" s="33" t="s">
        <v>418</v>
      </c>
      <c r="C6" s="35" t="s">
        <v>419</v>
      </c>
      <c r="D6" s="42" t="s">
        <v>420</v>
      </c>
      <c r="E6" s="37" t="s">
        <v>421</v>
      </c>
      <c r="F6" s="22" t="s">
        <v>422</v>
      </c>
      <c r="G6" s="44" t="s">
        <v>423</v>
      </c>
      <c r="H6" s="45" t="s">
        <v>424</v>
      </c>
      <c r="I6" s="46" t="s">
        <v>425</v>
      </c>
      <c r="J6" s="47" t="s">
        <v>426</v>
      </c>
    </row>
    <row r="7" spans="2:10" ht="31.5" customHeight="1" x14ac:dyDescent="0.3">
      <c r="B7" s="33" t="s">
        <v>418</v>
      </c>
      <c r="C7" s="29" t="s">
        <v>427</v>
      </c>
      <c r="D7" s="42" t="s">
        <v>420</v>
      </c>
      <c r="E7" s="31" t="s">
        <v>428</v>
      </c>
      <c r="F7" s="22" t="s">
        <v>429</v>
      </c>
      <c r="G7" s="48" t="s">
        <v>430</v>
      </c>
      <c r="H7" s="45" t="s">
        <v>431</v>
      </c>
      <c r="I7" s="46" t="s">
        <v>425</v>
      </c>
      <c r="J7" s="38" t="s">
        <v>418</v>
      </c>
    </row>
    <row r="8" spans="2:10" ht="31.5" customHeight="1" x14ac:dyDescent="0.3">
      <c r="B8" s="33" t="s">
        <v>418</v>
      </c>
      <c r="C8" s="35" t="s">
        <v>432</v>
      </c>
      <c r="D8" s="42" t="s">
        <v>420</v>
      </c>
      <c r="E8" s="37" t="s">
        <v>433</v>
      </c>
      <c r="F8" s="22" t="s">
        <v>434</v>
      </c>
      <c r="G8" s="44" t="s">
        <v>435</v>
      </c>
      <c r="H8" s="45" t="s">
        <v>436</v>
      </c>
      <c r="I8" s="46" t="s">
        <v>425</v>
      </c>
      <c r="J8" s="38" t="s">
        <v>418</v>
      </c>
    </row>
    <row r="9" spans="2:10" ht="31.5" customHeight="1" x14ac:dyDescent="0.3">
      <c r="B9" s="33" t="s">
        <v>437</v>
      </c>
      <c r="C9" s="29" t="s">
        <v>438</v>
      </c>
      <c r="D9" s="21" t="s">
        <v>439</v>
      </c>
      <c r="E9" s="31" t="s">
        <v>440</v>
      </c>
      <c r="F9" s="22" t="s">
        <v>441</v>
      </c>
      <c r="G9" s="48" t="s">
        <v>442</v>
      </c>
      <c r="H9" s="45" t="s">
        <v>443</v>
      </c>
      <c r="I9" s="49" t="s">
        <v>444</v>
      </c>
      <c r="J9" s="38" t="s">
        <v>445</v>
      </c>
    </row>
    <row r="10" spans="2:10" ht="31.5" customHeight="1" x14ac:dyDescent="0.3">
      <c r="B10" s="33" t="s">
        <v>446</v>
      </c>
      <c r="C10" s="35" t="s">
        <v>447</v>
      </c>
      <c r="D10" s="21" t="s">
        <v>439</v>
      </c>
      <c r="E10" s="37" t="s">
        <v>448</v>
      </c>
      <c r="F10" s="22" t="s">
        <v>449</v>
      </c>
      <c r="G10" s="44" t="s">
        <v>450</v>
      </c>
      <c r="H10" s="45">
        <f>0</f>
        <v>0</v>
      </c>
      <c r="I10" s="49" t="s">
        <v>444</v>
      </c>
      <c r="J10" s="38" t="s">
        <v>418</v>
      </c>
    </row>
    <row r="11" spans="2:10" ht="31.5" customHeight="1" x14ac:dyDescent="0.3">
      <c r="B11" s="33" t="s">
        <v>451</v>
      </c>
      <c r="C11" s="29" t="s">
        <v>452</v>
      </c>
      <c r="D11" s="21" t="s">
        <v>439</v>
      </c>
      <c r="E11" s="31" t="s">
        <v>453</v>
      </c>
      <c r="F11" s="22" t="s">
        <v>454</v>
      </c>
      <c r="G11" s="48" t="s">
        <v>442</v>
      </c>
      <c r="H11" s="45" t="s">
        <v>455</v>
      </c>
      <c r="I11" s="49" t="s">
        <v>444</v>
      </c>
      <c r="J11" s="38" t="s">
        <v>418</v>
      </c>
    </row>
    <row r="12" spans="2:10" ht="31.5" customHeight="1" x14ac:dyDescent="0.3">
      <c r="B12" s="33" t="s">
        <v>456</v>
      </c>
      <c r="C12" s="35" t="s">
        <v>457</v>
      </c>
      <c r="D12" s="21" t="s">
        <v>439</v>
      </c>
      <c r="E12" s="37" t="s">
        <v>458</v>
      </c>
      <c r="F12" s="22" t="s">
        <v>459</v>
      </c>
      <c r="G12" s="44" t="s">
        <v>442</v>
      </c>
      <c r="H12" s="45" t="s">
        <v>460</v>
      </c>
      <c r="I12" s="49" t="s">
        <v>444</v>
      </c>
      <c r="J12" s="38" t="s">
        <v>461</v>
      </c>
    </row>
    <row r="13" spans="2:10" ht="31.5" customHeight="1" x14ac:dyDescent="0.3">
      <c r="B13" s="33" t="s">
        <v>462</v>
      </c>
      <c r="C13" s="29" t="s">
        <v>463</v>
      </c>
      <c r="D13" s="21" t="s">
        <v>439</v>
      </c>
      <c r="E13" s="31" t="s">
        <v>464</v>
      </c>
      <c r="F13" s="22" t="s">
        <v>449</v>
      </c>
      <c r="G13" s="48" t="s">
        <v>450</v>
      </c>
      <c r="H13" s="45">
        <f>4</f>
        <v>4</v>
      </c>
      <c r="I13" s="49" t="s">
        <v>444</v>
      </c>
      <c r="J13" s="38" t="s">
        <v>418</v>
      </c>
    </row>
    <row r="14" spans="2:10" ht="31.5" customHeight="1" x14ac:dyDescent="0.3">
      <c r="B14" s="33" t="s">
        <v>465</v>
      </c>
      <c r="C14" s="35" t="s">
        <v>466</v>
      </c>
      <c r="D14" s="21" t="s">
        <v>439</v>
      </c>
      <c r="E14" s="37" t="s">
        <v>467</v>
      </c>
      <c r="F14" s="22" t="s">
        <v>434</v>
      </c>
      <c r="G14" s="44" t="s">
        <v>442</v>
      </c>
      <c r="H14" s="45" t="s">
        <v>468</v>
      </c>
      <c r="I14" s="49" t="s">
        <v>444</v>
      </c>
      <c r="J14" s="38" t="s">
        <v>469</v>
      </c>
    </row>
    <row r="15" spans="2:10" ht="31.5" customHeight="1" x14ac:dyDescent="0.3">
      <c r="B15" s="33" t="s">
        <v>470</v>
      </c>
      <c r="C15" s="29" t="s">
        <v>471</v>
      </c>
      <c r="D15" s="21" t="s">
        <v>439</v>
      </c>
      <c r="E15" s="31" t="s">
        <v>472</v>
      </c>
      <c r="F15" s="22" t="s">
        <v>473</v>
      </c>
      <c r="G15" s="48" t="s">
        <v>442</v>
      </c>
      <c r="H15" s="45" t="s">
        <v>474</v>
      </c>
      <c r="I15" s="49" t="s">
        <v>444</v>
      </c>
      <c r="J15" s="38" t="s">
        <v>475</v>
      </c>
    </row>
    <row r="16" spans="2:10" ht="31.5" customHeight="1" x14ac:dyDescent="0.3">
      <c r="B16" s="33" t="s">
        <v>476</v>
      </c>
      <c r="C16" s="35" t="s">
        <v>477</v>
      </c>
      <c r="D16" s="21" t="s">
        <v>439</v>
      </c>
      <c r="E16" s="37" t="s">
        <v>478</v>
      </c>
      <c r="F16" s="22" t="s">
        <v>449</v>
      </c>
      <c r="G16" s="44" t="s">
        <v>450</v>
      </c>
      <c r="H16" s="45">
        <f>10</f>
        <v>10</v>
      </c>
      <c r="I16" s="49" t="s">
        <v>444</v>
      </c>
      <c r="J16" s="38" t="s">
        <v>418</v>
      </c>
    </row>
    <row r="17" spans="2:10" ht="31.5" customHeight="1" x14ac:dyDescent="0.3">
      <c r="B17" s="33" t="s">
        <v>479</v>
      </c>
      <c r="C17" s="29" t="s">
        <v>480</v>
      </c>
      <c r="D17" s="21" t="s">
        <v>439</v>
      </c>
      <c r="E17" s="31" t="s">
        <v>481</v>
      </c>
      <c r="F17" s="22" t="s">
        <v>434</v>
      </c>
      <c r="G17" s="48" t="s">
        <v>442</v>
      </c>
      <c r="H17" s="45" t="s">
        <v>482</v>
      </c>
      <c r="I17" s="49" t="s">
        <v>444</v>
      </c>
      <c r="J17" s="38" t="s">
        <v>469</v>
      </c>
    </row>
    <row r="18" spans="2:10" ht="31.5" customHeight="1" x14ac:dyDescent="0.3">
      <c r="B18" s="33" t="s">
        <v>483</v>
      </c>
      <c r="C18" s="35" t="s">
        <v>484</v>
      </c>
      <c r="D18" s="12" t="s">
        <v>485</v>
      </c>
      <c r="E18" s="37" t="s">
        <v>486</v>
      </c>
      <c r="F18" s="22" t="s">
        <v>487</v>
      </c>
      <c r="G18" s="44" t="s">
        <v>442</v>
      </c>
      <c r="H18" s="45" t="s">
        <v>488</v>
      </c>
      <c r="I18" s="49" t="s">
        <v>444</v>
      </c>
      <c r="J18" s="38" t="s">
        <v>489</v>
      </c>
    </row>
    <row r="19" spans="2:10" ht="31.5" customHeight="1" x14ac:dyDescent="0.3">
      <c r="B19" s="33" t="s">
        <v>490</v>
      </c>
      <c r="C19" s="29" t="s">
        <v>491</v>
      </c>
      <c r="D19" s="12" t="s">
        <v>485</v>
      </c>
      <c r="E19" s="31" t="s">
        <v>492</v>
      </c>
      <c r="F19" s="22" t="s">
        <v>449</v>
      </c>
      <c r="G19" s="48" t="s">
        <v>450</v>
      </c>
      <c r="H19" s="45">
        <f>21</f>
        <v>21</v>
      </c>
      <c r="I19" s="49" t="s">
        <v>444</v>
      </c>
      <c r="J19" s="38" t="s">
        <v>418</v>
      </c>
    </row>
    <row r="20" spans="2:10" ht="31.5" customHeight="1" x14ac:dyDescent="0.3">
      <c r="B20" s="33" t="s">
        <v>493</v>
      </c>
      <c r="C20" s="35" t="s">
        <v>494</v>
      </c>
      <c r="D20" s="12" t="s">
        <v>485</v>
      </c>
      <c r="E20" s="37" t="s">
        <v>495</v>
      </c>
      <c r="F20" s="22" t="s">
        <v>434</v>
      </c>
      <c r="G20" s="44" t="s">
        <v>442</v>
      </c>
      <c r="H20" s="45" t="s">
        <v>496</v>
      </c>
      <c r="I20" s="49" t="s">
        <v>444</v>
      </c>
      <c r="J20" s="47" t="s">
        <v>497</v>
      </c>
    </row>
    <row r="21" spans="2:10" ht="31.5" customHeight="1" x14ac:dyDescent="0.3">
      <c r="B21" s="33" t="s">
        <v>498</v>
      </c>
      <c r="C21" s="29" t="s">
        <v>499</v>
      </c>
      <c r="D21" s="21" t="s">
        <v>439</v>
      </c>
      <c r="E21" s="31" t="s">
        <v>500</v>
      </c>
      <c r="F21" s="22" t="s">
        <v>501</v>
      </c>
      <c r="G21" s="48" t="s">
        <v>442</v>
      </c>
      <c r="H21" s="45" t="s">
        <v>502</v>
      </c>
      <c r="I21" s="49" t="s">
        <v>444</v>
      </c>
      <c r="J21" s="38" t="s">
        <v>503</v>
      </c>
    </row>
    <row r="22" spans="2:10" ht="31.5" customHeight="1" x14ac:dyDescent="0.3">
      <c r="B22" s="33" t="s">
        <v>504</v>
      </c>
      <c r="C22" s="35" t="s">
        <v>505</v>
      </c>
      <c r="D22" s="21" t="s">
        <v>439</v>
      </c>
      <c r="E22" s="37" t="s">
        <v>506</v>
      </c>
      <c r="F22" s="22" t="s">
        <v>434</v>
      </c>
      <c r="G22" s="44" t="s">
        <v>442</v>
      </c>
      <c r="H22" s="45" t="s">
        <v>507</v>
      </c>
      <c r="I22" s="49" t="s">
        <v>444</v>
      </c>
      <c r="J22" s="38" t="s">
        <v>508</v>
      </c>
    </row>
    <row r="23" spans="2:10" ht="31.5" customHeight="1" x14ac:dyDescent="0.3">
      <c r="B23" s="33" t="s">
        <v>509</v>
      </c>
      <c r="C23" s="29" t="s">
        <v>510</v>
      </c>
      <c r="D23" s="21" t="s">
        <v>439</v>
      </c>
      <c r="E23" s="31" t="s">
        <v>511</v>
      </c>
      <c r="F23" s="22" t="s">
        <v>512</v>
      </c>
      <c r="G23" s="48" t="s">
        <v>442</v>
      </c>
      <c r="H23" s="45" t="s">
        <v>513</v>
      </c>
      <c r="I23" s="49" t="s">
        <v>444</v>
      </c>
      <c r="J23" s="38" t="s">
        <v>514</v>
      </c>
    </row>
    <row r="24" spans="2:10" ht="31.5" customHeight="1" x14ac:dyDescent="0.3">
      <c r="B24" s="33" t="s">
        <v>515</v>
      </c>
      <c r="C24" s="35" t="s">
        <v>516</v>
      </c>
      <c r="D24" s="21" t="s">
        <v>439</v>
      </c>
      <c r="E24" s="37" t="s">
        <v>517</v>
      </c>
      <c r="F24" s="22" t="s">
        <v>434</v>
      </c>
      <c r="G24" s="44" t="s">
        <v>442</v>
      </c>
      <c r="H24" s="45" t="s">
        <v>518</v>
      </c>
      <c r="I24" s="49" t="s">
        <v>444</v>
      </c>
      <c r="J24" s="38" t="s">
        <v>519</v>
      </c>
    </row>
    <row r="25" spans="2:10" ht="31.5" customHeight="1" x14ac:dyDescent="0.3">
      <c r="B25" s="33" t="s">
        <v>520</v>
      </c>
      <c r="C25" s="29" t="s">
        <v>521</v>
      </c>
      <c r="D25" s="42" t="s">
        <v>420</v>
      </c>
      <c r="E25" s="31" t="s">
        <v>522</v>
      </c>
      <c r="F25" s="22" t="s">
        <v>454</v>
      </c>
      <c r="G25" s="48" t="s">
        <v>442</v>
      </c>
      <c r="H25" s="45" t="s">
        <v>523</v>
      </c>
      <c r="I25" s="49" t="s">
        <v>444</v>
      </c>
      <c r="J25" s="47" t="s">
        <v>524</v>
      </c>
    </row>
    <row r="26" spans="2:10" ht="31.5" customHeight="1" x14ac:dyDescent="0.3">
      <c r="B26" s="33" t="s">
        <v>525</v>
      </c>
      <c r="C26" s="35" t="s">
        <v>526</v>
      </c>
      <c r="D26" s="12" t="s">
        <v>485</v>
      </c>
      <c r="E26" s="37" t="s">
        <v>527</v>
      </c>
      <c r="F26" s="22" t="s">
        <v>528</v>
      </c>
      <c r="G26" s="44" t="s">
        <v>442</v>
      </c>
      <c r="H26" s="45" t="s">
        <v>529</v>
      </c>
      <c r="I26" s="50" t="s">
        <v>530</v>
      </c>
      <c r="J26" s="38" t="s">
        <v>531</v>
      </c>
    </row>
    <row r="27" spans="2:10" ht="31.5" customHeight="1" x14ac:dyDescent="0.3">
      <c r="B27" s="33" t="s">
        <v>532</v>
      </c>
      <c r="C27" s="29" t="s">
        <v>533</v>
      </c>
      <c r="D27" s="12" t="s">
        <v>485</v>
      </c>
      <c r="E27" s="31" t="s">
        <v>534</v>
      </c>
      <c r="F27" s="22" t="s">
        <v>434</v>
      </c>
      <c r="G27" s="48" t="s">
        <v>442</v>
      </c>
      <c r="H27" s="45" t="s">
        <v>535</v>
      </c>
      <c r="I27" s="50" t="s">
        <v>530</v>
      </c>
      <c r="J27" s="47" t="s">
        <v>536</v>
      </c>
    </row>
    <row r="28" spans="2:10" ht="31.5" customHeight="1" x14ac:dyDescent="0.3">
      <c r="B28" s="33" t="s">
        <v>537</v>
      </c>
      <c r="C28" s="35" t="s">
        <v>538</v>
      </c>
      <c r="D28" s="21" t="s">
        <v>439</v>
      </c>
      <c r="E28" s="37" t="s">
        <v>539</v>
      </c>
      <c r="F28" s="22" t="s">
        <v>540</v>
      </c>
      <c r="G28" s="44" t="s">
        <v>442</v>
      </c>
      <c r="H28" s="45" t="s">
        <v>541</v>
      </c>
      <c r="I28" s="50" t="s">
        <v>530</v>
      </c>
      <c r="J28" s="38" t="s">
        <v>542</v>
      </c>
    </row>
    <row r="29" spans="2:10" ht="31.5" customHeight="1" x14ac:dyDescent="0.3">
      <c r="B29" s="33" t="s">
        <v>543</v>
      </c>
      <c r="C29" s="29" t="s">
        <v>544</v>
      </c>
      <c r="D29" s="21" t="s">
        <v>439</v>
      </c>
      <c r="E29" s="31" t="s">
        <v>545</v>
      </c>
      <c r="F29" s="22" t="s">
        <v>434</v>
      </c>
      <c r="G29" s="48" t="s">
        <v>442</v>
      </c>
      <c r="H29" s="45" t="s">
        <v>546</v>
      </c>
      <c r="I29" s="50" t="s">
        <v>530</v>
      </c>
      <c r="J29" s="38" t="s">
        <v>547</v>
      </c>
    </row>
    <row r="30" spans="2:10" ht="31.5" customHeight="1" x14ac:dyDescent="0.3">
      <c r="B30" s="33" t="s">
        <v>548</v>
      </c>
      <c r="C30" s="35" t="s">
        <v>549</v>
      </c>
      <c r="D30" s="21" t="s">
        <v>439</v>
      </c>
      <c r="E30" s="37" t="s">
        <v>550</v>
      </c>
      <c r="F30" s="22" t="s">
        <v>551</v>
      </c>
      <c r="G30" s="44" t="s">
        <v>442</v>
      </c>
      <c r="H30" s="45" t="s">
        <v>552</v>
      </c>
      <c r="I30" s="50" t="s">
        <v>530</v>
      </c>
      <c r="J30" s="38" t="s">
        <v>553</v>
      </c>
    </row>
    <row r="31" spans="2:10" ht="31.5" customHeight="1" x14ac:dyDescent="0.3">
      <c r="B31" s="33" t="s">
        <v>554</v>
      </c>
      <c r="C31" s="29" t="s">
        <v>555</v>
      </c>
      <c r="D31" s="21" t="s">
        <v>439</v>
      </c>
      <c r="E31" s="31" t="s">
        <v>556</v>
      </c>
      <c r="F31" s="22" t="s">
        <v>434</v>
      </c>
      <c r="G31" s="48" t="s">
        <v>442</v>
      </c>
      <c r="H31" s="45" t="s">
        <v>557</v>
      </c>
      <c r="I31" s="50" t="s">
        <v>530</v>
      </c>
      <c r="J31" s="38" t="s">
        <v>418</v>
      </c>
    </row>
    <row r="32" spans="2:10" ht="31.5" customHeight="1" x14ac:dyDescent="0.3">
      <c r="B32" s="33" t="s">
        <v>558</v>
      </c>
      <c r="C32" s="35" t="s">
        <v>559</v>
      </c>
      <c r="D32" s="21" t="s">
        <v>439</v>
      </c>
      <c r="E32" s="37" t="s">
        <v>560</v>
      </c>
      <c r="F32" s="22" t="s">
        <v>561</v>
      </c>
      <c r="G32" s="44" t="s">
        <v>442</v>
      </c>
      <c r="H32" s="45" t="s">
        <v>562</v>
      </c>
      <c r="I32" s="50" t="s">
        <v>530</v>
      </c>
      <c r="J32" s="38" t="s">
        <v>563</v>
      </c>
    </row>
    <row r="33" spans="2:10" ht="31.5" customHeight="1" x14ac:dyDescent="0.3">
      <c r="B33" s="33" t="s">
        <v>564</v>
      </c>
      <c r="C33" s="29" t="s">
        <v>565</v>
      </c>
      <c r="D33" s="21" t="s">
        <v>439</v>
      </c>
      <c r="E33" s="31" t="s">
        <v>566</v>
      </c>
      <c r="F33" s="22" t="s">
        <v>434</v>
      </c>
      <c r="G33" s="48" t="s">
        <v>442</v>
      </c>
      <c r="H33" s="45" t="s">
        <v>567</v>
      </c>
      <c r="I33" s="50" t="s">
        <v>530</v>
      </c>
      <c r="J33" s="38" t="s">
        <v>418</v>
      </c>
    </row>
    <row r="34" spans="2:10" ht="31.5" customHeight="1" x14ac:dyDescent="0.3">
      <c r="B34" s="33" t="s">
        <v>568</v>
      </c>
      <c r="C34" s="35" t="s">
        <v>569</v>
      </c>
      <c r="D34" s="21" t="s">
        <v>439</v>
      </c>
      <c r="E34" s="37" t="s">
        <v>570</v>
      </c>
      <c r="F34" s="22" t="s">
        <v>571</v>
      </c>
      <c r="G34" s="44" t="s">
        <v>442</v>
      </c>
      <c r="H34" s="45" t="s">
        <v>572</v>
      </c>
      <c r="I34" s="50" t="s">
        <v>530</v>
      </c>
      <c r="J34" s="38" t="s">
        <v>418</v>
      </c>
    </row>
    <row r="35" spans="2:10" ht="31.5" customHeight="1" x14ac:dyDescent="0.3">
      <c r="B35" s="33" t="s">
        <v>573</v>
      </c>
      <c r="C35" s="29" t="s">
        <v>574</v>
      </c>
      <c r="D35" s="21" t="s">
        <v>439</v>
      </c>
      <c r="E35" s="31" t="s">
        <v>575</v>
      </c>
      <c r="F35" s="22" t="s">
        <v>434</v>
      </c>
      <c r="G35" s="48" t="s">
        <v>442</v>
      </c>
      <c r="H35" s="45" t="s">
        <v>576</v>
      </c>
      <c r="I35" s="50" t="s">
        <v>530</v>
      </c>
      <c r="J35" s="38" t="s">
        <v>418</v>
      </c>
    </row>
    <row r="36" spans="2:10" ht="31.5" customHeight="1" x14ac:dyDescent="0.3">
      <c r="B36" s="33" t="s">
        <v>577</v>
      </c>
      <c r="C36" s="35" t="s">
        <v>578</v>
      </c>
      <c r="D36" s="21" t="s">
        <v>439</v>
      </c>
      <c r="E36" s="37" t="s">
        <v>579</v>
      </c>
      <c r="F36" s="22" t="s">
        <v>580</v>
      </c>
      <c r="G36" s="44" t="s">
        <v>442</v>
      </c>
      <c r="H36" s="45" t="s">
        <v>581</v>
      </c>
      <c r="I36" s="50" t="s">
        <v>530</v>
      </c>
      <c r="J36" s="38" t="s">
        <v>582</v>
      </c>
    </row>
    <row r="37" spans="2:10" ht="31.5" customHeight="1" x14ac:dyDescent="0.3">
      <c r="B37" s="33" t="s">
        <v>583</v>
      </c>
      <c r="C37" s="29" t="s">
        <v>584</v>
      </c>
      <c r="D37" s="21" t="s">
        <v>439</v>
      </c>
      <c r="E37" s="31" t="s">
        <v>585</v>
      </c>
      <c r="F37" s="22" t="s">
        <v>434</v>
      </c>
      <c r="G37" s="48" t="s">
        <v>442</v>
      </c>
      <c r="H37" s="45" t="s">
        <v>586</v>
      </c>
      <c r="I37" s="50" t="s">
        <v>530</v>
      </c>
      <c r="J37" s="47" t="s">
        <v>587</v>
      </c>
    </row>
    <row r="38" spans="2:10" ht="31.5" customHeight="1" x14ac:dyDescent="0.3">
      <c r="B38" s="33" t="s">
        <v>588</v>
      </c>
      <c r="C38" s="35" t="s">
        <v>589</v>
      </c>
      <c r="D38" s="21" t="s">
        <v>439</v>
      </c>
      <c r="E38" s="37" t="s">
        <v>590</v>
      </c>
      <c r="F38" s="22" t="s">
        <v>591</v>
      </c>
      <c r="G38" s="44" t="s">
        <v>442</v>
      </c>
      <c r="H38" s="45" t="s">
        <v>592</v>
      </c>
      <c r="I38" s="50" t="s">
        <v>530</v>
      </c>
      <c r="J38" s="38" t="s">
        <v>593</v>
      </c>
    </row>
    <row r="39" spans="2:10" ht="31.5" customHeight="1" x14ac:dyDescent="0.3">
      <c r="B39" s="33" t="s">
        <v>594</v>
      </c>
      <c r="C39" s="29" t="s">
        <v>595</v>
      </c>
      <c r="D39" s="21" t="s">
        <v>439</v>
      </c>
      <c r="E39" s="31" t="s">
        <v>596</v>
      </c>
      <c r="F39" s="22" t="s">
        <v>597</v>
      </c>
      <c r="G39" s="48" t="s">
        <v>442</v>
      </c>
      <c r="H39" s="45" t="s">
        <v>598</v>
      </c>
      <c r="I39" s="50" t="s">
        <v>530</v>
      </c>
      <c r="J39" s="38" t="s">
        <v>599</v>
      </c>
    </row>
    <row r="40" spans="2:10" ht="31.5" customHeight="1" x14ac:dyDescent="0.3">
      <c r="B40" s="33" t="s">
        <v>600</v>
      </c>
      <c r="C40" s="35" t="s">
        <v>601</v>
      </c>
      <c r="D40" s="42" t="s">
        <v>420</v>
      </c>
      <c r="E40" s="37" t="s">
        <v>602</v>
      </c>
      <c r="F40" s="22" t="s">
        <v>434</v>
      </c>
      <c r="G40" s="44" t="s">
        <v>442</v>
      </c>
      <c r="H40" s="45" t="s">
        <v>603</v>
      </c>
      <c r="I40" s="50" t="s">
        <v>530</v>
      </c>
      <c r="J40" s="47" t="s">
        <v>524</v>
      </c>
    </row>
    <row r="41" spans="2:10" ht="31.5" customHeight="1" x14ac:dyDescent="0.3">
      <c r="B41" s="33" t="s">
        <v>604</v>
      </c>
      <c r="C41" s="29" t="s">
        <v>605</v>
      </c>
      <c r="D41" s="42" t="s">
        <v>420</v>
      </c>
      <c r="E41" s="31" t="s">
        <v>606</v>
      </c>
      <c r="F41" s="22" t="s">
        <v>434</v>
      </c>
      <c r="G41" s="48" t="s">
        <v>442</v>
      </c>
      <c r="H41" s="45" t="s">
        <v>607</v>
      </c>
      <c r="I41" s="51" t="s">
        <v>608</v>
      </c>
      <c r="J41" s="38" t="s">
        <v>609</v>
      </c>
    </row>
    <row r="42" spans="2:10" ht="31.5" customHeight="1" x14ac:dyDescent="0.3">
      <c r="B42" s="33" t="s">
        <v>610</v>
      </c>
      <c r="C42" s="35" t="s">
        <v>611</v>
      </c>
      <c r="D42" s="42" t="s">
        <v>420</v>
      </c>
      <c r="E42" s="37" t="s">
        <v>612</v>
      </c>
      <c r="F42" s="22" t="s">
        <v>434</v>
      </c>
      <c r="G42" s="44" t="s">
        <v>442</v>
      </c>
      <c r="H42" s="45" t="s">
        <v>613</v>
      </c>
      <c r="I42" s="51" t="s">
        <v>608</v>
      </c>
      <c r="J42" s="38" t="s">
        <v>614</v>
      </c>
    </row>
    <row r="43" spans="2:10" ht="31.5" customHeight="1" x14ac:dyDescent="0.3">
      <c r="B43" s="33" t="s">
        <v>615</v>
      </c>
      <c r="C43" s="29" t="s">
        <v>616</v>
      </c>
      <c r="D43" s="21" t="s">
        <v>439</v>
      </c>
      <c r="E43" s="31" t="s">
        <v>617</v>
      </c>
      <c r="F43" s="22" t="s">
        <v>618</v>
      </c>
      <c r="G43" s="48" t="s">
        <v>442</v>
      </c>
      <c r="H43" s="45" t="s">
        <v>619</v>
      </c>
      <c r="I43" s="51" t="s">
        <v>608</v>
      </c>
      <c r="J43" s="47" t="s">
        <v>620</v>
      </c>
    </row>
    <row r="44" spans="2:10" ht="31.5" customHeight="1" x14ac:dyDescent="0.3">
      <c r="B44" s="33" t="s">
        <v>621</v>
      </c>
      <c r="C44" s="35" t="s">
        <v>622</v>
      </c>
      <c r="D44" s="42" t="s">
        <v>420</v>
      </c>
      <c r="E44" s="37" t="s">
        <v>623</v>
      </c>
      <c r="F44" s="22" t="s">
        <v>434</v>
      </c>
      <c r="G44" s="44" t="s">
        <v>442</v>
      </c>
      <c r="H44" s="45" t="s">
        <v>624</v>
      </c>
      <c r="I44" s="51" t="s">
        <v>608</v>
      </c>
      <c r="J44" s="38" t="s">
        <v>625</v>
      </c>
    </row>
    <row r="45" spans="2:10" ht="31.5" customHeight="1" x14ac:dyDescent="0.3">
      <c r="B45" s="33" t="s">
        <v>626</v>
      </c>
      <c r="C45" s="29" t="s">
        <v>627</v>
      </c>
      <c r="D45" s="21" t="s">
        <v>439</v>
      </c>
      <c r="E45" s="31" t="s">
        <v>628</v>
      </c>
      <c r="F45" s="22" t="s">
        <v>434</v>
      </c>
      <c r="G45" s="48" t="s">
        <v>442</v>
      </c>
      <c r="H45" s="45" t="s">
        <v>629</v>
      </c>
      <c r="I45" s="51" t="s">
        <v>608</v>
      </c>
      <c r="J45" s="38" t="s">
        <v>630</v>
      </c>
    </row>
    <row r="46" spans="2:10" ht="31.5" customHeight="1" x14ac:dyDescent="0.3">
      <c r="B46" s="33" t="s">
        <v>631</v>
      </c>
      <c r="C46" s="35" t="s">
        <v>632</v>
      </c>
      <c r="D46" s="21" t="s">
        <v>439</v>
      </c>
      <c r="E46" s="37" t="s">
        <v>633</v>
      </c>
      <c r="F46" s="22" t="s">
        <v>634</v>
      </c>
      <c r="G46" s="44" t="s">
        <v>442</v>
      </c>
      <c r="H46" s="45" t="s">
        <v>635</v>
      </c>
      <c r="I46" s="51" t="s">
        <v>608</v>
      </c>
      <c r="J46" s="38" t="s">
        <v>636</v>
      </c>
    </row>
    <row r="47" spans="2:10" ht="31.5" customHeight="1" x14ac:dyDescent="0.3">
      <c r="B47" s="33" t="s">
        <v>637</v>
      </c>
      <c r="C47" s="29" t="s">
        <v>638</v>
      </c>
      <c r="D47" s="21" t="s">
        <v>439</v>
      </c>
      <c r="E47" s="31" t="s">
        <v>639</v>
      </c>
      <c r="F47" s="22" t="s">
        <v>640</v>
      </c>
      <c r="G47" s="48" t="s">
        <v>442</v>
      </c>
      <c r="H47" s="45" t="s">
        <v>641</v>
      </c>
      <c r="I47" s="52" t="s">
        <v>642</v>
      </c>
      <c r="J47" s="38" t="s">
        <v>643</v>
      </c>
    </row>
    <row r="48" spans="2:10" ht="31.5" customHeight="1" x14ac:dyDescent="0.3">
      <c r="B48" s="33" t="s">
        <v>644</v>
      </c>
      <c r="C48" s="35" t="s">
        <v>645</v>
      </c>
      <c r="D48" s="21" t="s">
        <v>439</v>
      </c>
      <c r="E48" s="37" t="s">
        <v>646</v>
      </c>
      <c r="F48" s="22" t="s">
        <v>647</v>
      </c>
      <c r="G48" s="44" t="s">
        <v>442</v>
      </c>
      <c r="H48" s="45" t="s">
        <v>648</v>
      </c>
      <c r="I48" s="52" t="s">
        <v>642</v>
      </c>
      <c r="J48" s="38" t="s">
        <v>418</v>
      </c>
    </row>
    <row r="49" spans="2:10" ht="31.5" customHeight="1" x14ac:dyDescent="0.3">
      <c r="B49" s="33" t="s">
        <v>649</v>
      </c>
      <c r="C49" s="29" t="s">
        <v>650</v>
      </c>
      <c r="D49" s="21" t="s">
        <v>439</v>
      </c>
      <c r="E49" s="31" t="s">
        <v>651</v>
      </c>
      <c r="F49" s="22" t="s">
        <v>652</v>
      </c>
      <c r="G49" s="48" t="s">
        <v>442</v>
      </c>
      <c r="H49" s="45" t="s">
        <v>653</v>
      </c>
      <c r="I49" s="52" t="s">
        <v>642</v>
      </c>
      <c r="J49" s="38" t="s">
        <v>654</v>
      </c>
    </row>
    <row r="50" spans="2:10" ht="31.5" customHeight="1" x14ac:dyDescent="0.3">
      <c r="B50" s="33" t="s">
        <v>655</v>
      </c>
      <c r="C50" s="35" t="s">
        <v>656</v>
      </c>
      <c r="D50" s="21" t="s">
        <v>439</v>
      </c>
      <c r="E50" s="37" t="s">
        <v>657</v>
      </c>
      <c r="F50" s="22" t="s">
        <v>658</v>
      </c>
      <c r="G50" s="44" t="s">
        <v>442</v>
      </c>
      <c r="H50" s="45" t="s">
        <v>659</v>
      </c>
      <c r="I50" s="52" t="s">
        <v>642</v>
      </c>
      <c r="J50" s="38" t="s">
        <v>660</v>
      </c>
    </row>
    <row r="51" spans="2:10" ht="31.5" customHeight="1" x14ac:dyDescent="0.3">
      <c r="B51" s="33" t="s">
        <v>661</v>
      </c>
      <c r="C51" s="29" t="s">
        <v>662</v>
      </c>
      <c r="D51" s="21" t="s">
        <v>439</v>
      </c>
      <c r="E51" s="31" t="s">
        <v>663</v>
      </c>
      <c r="F51" s="22" t="s">
        <v>664</v>
      </c>
      <c r="G51" s="48" t="s">
        <v>665</v>
      </c>
      <c r="H51" s="45" t="s">
        <v>666</v>
      </c>
      <c r="I51" s="53" t="s">
        <v>667</v>
      </c>
      <c r="J51" s="38" t="s">
        <v>668</v>
      </c>
    </row>
    <row r="54" spans="2:10" ht="15.75" customHeight="1" x14ac:dyDescent="0.3">
      <c r="B54" s="4" t="s">
        <v>669</v>
      </c>
      <c r="C54" s="4"/>
      <c r="D54" s="4"/>
      <c r="E54" s="4"/>
      <c r="F54" s="4"/>
      <c r="G54" s="4"/>
      <c r="H54" s="4"/>
      <c r="I54" s="4"/>
      <c r="J54" s="4"/>
    </row>
    <row r="55" spans="2:10" ht="32.25" customHeight="1" x14ac:dyDescent="0.3">
      <c r="B55" s="54" t="s">
        <v>670</v>
      </c>
      <c r="C55" s="54" t="s">
        <v>671</v>
      </c>
      <c r="D55" s="54" t="s">
        <v>672</v>
      </c>
      <c r="E55" s="54" t="s">
        <v>673</v>
      </c>
      <c r="F55" s="54" t="s">
        <v>674</v>
      </c>
      <c r="G55" s="54" t="s">
        <v>675</v>
      </c>
      <c r="H55" s="54" t="s">
        <v>676</v>
      </c>
    </row>
    <row r="56" spans="2:10" ht="39.75" customHeight="1" x14ac:dyDescent="0.3">
      <c r="B56" s="55" t="s">
        <v>677</v>
      </c>
      <c r="C56" s="56" t="s">
        <v>678</v>
      </c>
      <c r="D56" s="42" t="s">
        <v>679</v>
      </c>
      <c r="E56" s="57" t="s">
        <v>679</v>
      </c>
      <c r="F56" s="58" t="s">
        <v>680</v>
      </c>
      <c r="G56" s="59" t="s">
        <v>681</v>
      </c>
      <c r="H56" s="38" t="s">
        <v>682</v>
      </c>
    </row>
    <row r="57" spans="2:10" ht="39.75" customHeight="1" x14ac:dyDescent="0.3">
      <c r="B57" s="29" t="s">
        <v>683</v>
      </c>
      <c r="C57" s="60" t="s">
        <v>684</v>
      </c>
      <c r="D57" s="42" t="s">
        <v>679</v>
      </c>
      <c r="E57" s="61" t="s">
        <v>679</v>
      </c>
      <c r="F57" s="31" t="s">
        <v>685</v>
      </c>
      <c r="G57" s="59" t="s">
        <v>681</v>
      </c>
      <c r="H57" s="38" t="s">
        <v>682</v>
      </c>
    </row>
    <row r="58" spans="2:10" ht="39.75" customHeight="1" x14ac:dyDescent="0.3">
      <c r="B58" s="55" t="s">
        <v>686</v>
      </c>
      <c r="C58" s="56" t="s">
        <v>687</v>
      </c>
      <c r="D58" s="42" t="s">
        <v>679</v>
      </c>
      <c r="E58" s="57" t="s">
        <v>679</v>
      </c>
      <c r="F58" s="58" t="s">
        <v>688</v>
      </c>
      <c r="G58" s="59" t="s">
        <v>681</v>
      </c>
      <c r="H58" s="38" t="s">
        <v>682</v>
      </c>
    </row>
    <row r="59" spans="2:10" ht="39.75" customHeight="1" x14ac:dyDescent="0.3">
      <c r="B59" s="29" t="s">
        <v>689</v>
      </c>
      <c r="C59" s="60" t="s">
        <v>690</v>
      </c>
      <c r="D59" s="42" t="s">
        <v>679</v>
      </c>
      <c r="E59" s="61" t="s">
        <v>679</v>
      </c>
      <c r="F59" s="31" t="s">
        <v>691</v>
      </c>
      <c r="G59" s="59" t="s">
        <v>681</v>
      </c>
      <c r="H59" s="38" t="s">
        <v>682</v>
      </c>
    </row>
    <row r="60" spans="2:10" ht="39.75" customHeight="1" x14ac:dyDescent="0.3">
      <c r="B60" s="55" t="s">
        <v>692</v>
      </c>
      <c r="C60" s="56" t="s">
        <v>693</v>
      </c>
      <c r="D60" s="21" t="s">
        <v>694</v>
      </c>
      <c r="E60" s="57" t="s">
        <v>694</v>
      </c>
      <c r="F60" s="58" t="s">
        <v>695</v>
      </c>
      <c r="G60" s="62" t="s">
        <v>696</v>
      </c>
      <c r="H60" s="38" t="s">
        <v>697</v>
      </c>
    </row>
    <row r="61" spans="2:10" ht="39.75" customHeight="1" x14ac:dyDescent="0.3">
      <c r="B61" s="29" t="s">
        <v>698</v>
      </c>
      <c r="C61" s="60" t="s">
        <v>699</v>
      </c>
      <c r="D61" s="42" t="s">
        <v>679</v>
      </c>
      <c r="E61" s="61" t="s">
        <v>679</v>
      </c>
      <c r="F61" s="31" t="s">
        <v>700</v>
      </c>
      <c r="G61" s="59" t="s">
        <v>681</v>
      </c>
      <c r="H61" s="38" t="s">
        <v>682</v>
      </c>
    </row>
    <row r="62" spans="2:10" ht="39.75" customHeight="1" x14ac:dyDescent="0.3">
      <c r="B62" s="55" t="s">
        <v>701</v>
      </c>
      <c r="C62" s="56" t="s">
        <v>702</v>
      </c>
      <c r="D62" s="42" t="s">
        <v>679</v>
      </c>
      <c r="E62" s="57" t="s">
        <v>679</v>
      </c>
      <c r="F62" s="58" t="s">
        <v>703</v>
      </c>
      <c r="G62" s="62" t="s">
        <v>439</v>
      </c>
      <c r="H62" s="38" t="s">
        <v>682</v>
      </c>
    </row>
    <row r="63" spans="2:10" ht="39.75" customHeight="1" x14ac:dyDescent="0.3">
      <c r="B63" s="29" t="s">
        <v>704</v>
      </c>
      <c r="C63" s="60" t="s">
        <v>705</v>
      </c>
      <c r="D63" s="21" t="s">
        <v>706</v>
      </c>
      <c r="E63" s="61" t="s">
        <v>707</v>
      </c>
      <c r="F63" s="31" t="s">
        <v>708</v>
      </c>
      <c r="G63" s="62" t="s">
        <v>709</v>
      </c>
      <c r="H63" s="38" t="s">
        <v>710</v>
      </c>
    </row>
    <row r="64" spans="2:10" ht="39.75" customHeight="1" x14ac:dyDescent="0.3">
      <c r="B64" s="55" t="s">
        <v>711</v>
      </c>
      <c r="C64" s="56" t="s">
        <v>712</v>
      </c>
      <c r="D64" s="42" t="s">
        <v>679</v>
      </c>
      <c r="E64" s="57" t="s">
        <v>679</v>
      </c>
      <c r="F64" s="58" t="s">
        <v>713</v>
      </c>
      <c r="G64" s="62" t="s">
        <v>714</v>
      </c>
      <c r="H64" s="38" t="s">
        <v>682</v>
      </c>
    </row>
    <row r="65" spans="2:8" ht="39.75" customHeight="1" x14ac:dyDescent="0.3">
      <c r="B65" s="29" t="s">
        <v>715</v>
      </c>
      <c r="C65" s="60" t="s">
        <v>716</v>
      </c>
      <c r="D65" s="42" t="s">
        <v>679</v>
      </c>
      <c r="E65" s="61" t="s">
        <v>679</v>
      </c>
      <c r="F65" s="31" t="s">
        <v>717</v>
      </c>
      <c r="G65" s="59" t="s">
        <v>681</v>
      </c>
      <c r="H65" s="38" t="s">
        <v>682</v>
      </c>
    </row>
    <row r="66" spans="2:8" ht="39.75" customHeight="1" x14ac:dyDescent="0.3">
      <c r="B66" s="55" t="s">
        <v>718</v>
      </c>
      <c r="C66" s="56" t="s">
        <v>719</v>
      </c>
      <c r="D66" s="21" t="s">
        <v>694</v>
      </c>
      <c r="E66" s="57" t="s">
        <v>720</v>
      </c>
      <c r="F66" s="58" t="s">
        <v>721</v>
      </c>
      <c r="G66" s="62" t="s">
        <v>722</v>
      </c>
      <c r="H66" s="38" t="s">
        <v>723</v>
      </c>
    </row>
    <row r="67" spans="2:8" ht="39.75" customHeight="1" x14ac:dyDescent="0.3">
      <c r="B67" s="29" t="s">
        <v>724</v>
      </c>
      <c r="C67" s="60" t="s">
        <v>725</v>
      </c>
      <c r="D67" s="42" t="s">
        <v>679</v>
      </c>
      <c r="E67" s="61" t="s">
        <v>679</v>
      </c>
      <c r="F67" s="31" t="s">
        <v>726</v>
      </c>
      <c r="G67" s="62" t="s">
        <v>727</v>
      </c>
      <c r="H67" s="38" t="s">
        <v>728</v>
      </c>
    </row>
    <row r="68" spans="2:8" ht="39.75" customHeight="1" x14ac:dyDescent="0.3">
      <c r="B68" s="55" t="s">
        <v>729</v>
      </c>
      <c r="C68" s="56" t="s">
        <v>730</v>
      </c>
      <c r="D68" s="21" t="s">
        <v>731</v>
      </c>
      <c r="E68" s="57" t="s">
        <v>732</v>
      </c>
      <c r="F68" s="58" t="s">
        <v>733</v>
      </c>
      <c r="G68" s="62" t="s">
        <v>734</v>
      </c>
      <c r="H68" s="38" t="s">
        <v>735</v>
      </c>
    </row>
    <row r="69" spans="2:8" ht="39.75" customHeight="1" x14ac:dyDescent="0.3">
      <c r="B69" s="29" t="s">
        <v>736</v>
      </c>
      <c r="C69" s="60" t="s">
        <v>737</v>
      </c>
      <c r="D69" s="21" t="s">
        <v>738</v>
      </c>
      <c r="E69" s="61" t="s">
        <v>739</v>
      </c>
      <c r="F69" s="31" t="s">
        <v>740</v>
      </c>
      <c r="G69" s="62" t="s">
        <v>741</v>
      </c>
      <c r="H69" s="38" t="s">
        <v>742</v>
      </c>
    </row>
    <row r="70" spans="2:8" ht="39.75" customHeight="1" x14ac:dyDescent="0.3">
      <c r="B70" s="55" t="s">
        <v>743</v>
      </c>
      <c r="C70" s="56" t="s">
        <v>744</v>
      </c>
      <c r="D70" s="42" t="s">
        <v>679</v>
      </c>
      <c r="E70" s="57" t="s">
        <v>679</v>
      </c>
      <c r="F70" s="58" t="s">
        <v>745</v>
      </c>
      <c r="G70" s="28" t="s">
        <v>746</v>
      </c>
      <c r="H70" s="38" t="s">
        <v>747</v>
      </c>
    </row>
    <row r="71" spans="2:8" ht="39.75" customHeight="1" x14ac:dyDescent="0.3">
      <c r="B71" s="29" t="s">
        <v>748</v>
      </c>
      <c r="C71" s="60" t="s">
        <v>749</v>
      </c>
      <c r="D71" s="21" t="s">
        <v>720</v>
      </c>
      <c r="E71" s="61" t="s">
        <v>720</v>
      </c>
      <c r="F71" s="31" t="s">
        <v>750</v>
      </c>
      <c r="G71" s="59" t="s">
        <v>681</v>
      </c>
      <c r="H71" s="38" t="s">
        <v>751</v>
      </c>
    </row>
    <row r="72" spans="2:8" ht="39.75" customHeight="1" x14ac:dyDescent="0.3">
      <c r="B72" s="55" t="s">
        <v>752</v>
      </c>
      <c r="C72" s="56" t="s">
        <v>753</v>
      </c>
      <c r="D72" s="21" t="s">
        <v>738</v>
      </c>
      <c r="E72" s="57" t="s">
        <v>754</v>
      </c>
      <c r="F72" s="58" t="s">
        <v>755</v>
      </c>
      <c r="G72" s="28" t="s">
        <v>746</v>
      </c>
      <c r="H72" s="38" t="s">
        <v>756</v>
      </c>
    </row>
    <row r="73" spans="2:8" ht="39.75" customHeight="1" x14ac:dyDescent="0.3">
      <c r="B73" s="29" t="s">
        <v>757</v>
      </c>
      <c r="C73" s="60" t="s">
        <v>758</v>
      </c>
      <c r="D73" s="42" t="s">
        <v>679</v>
      </c>
      <c r="E73" s="61" t="s">
        <v>679</v>
      </c>
      <c r="F73" s="31" t="s">
        <v>717</v>
      </c>
      <c r="G73" s="59" t="s">
        <v>681</v>
      </c>
      <c r="H73" s="38" t="s">
        <v>682</v>
      </c>
    </row>
    <row r="74" spans="2:8" ht="39.75" customHeight="1" x14ac:dyDescent="0.3">
      <c r="B74" s="55" t="s">
        <v>759</v>
      </c>
      <c r="C74" s="56" t="s">
        <v>760</v>
      </c>
      <c r="D74" s="21" t="s">
        <v>720</v>
      </c>
      <c r="E74" s="57" t="s">
        <v>720</v>
      </c>
      <c r="F74" s="58" t="s">
        <v>761</v>
      </c>
      <c r="G74" s="59" t="s">
        <v>681</v>
      </c>
      <c r="H74" s="38" t="s">
        <v>697</v>
      </c>
    </row>
    <row r="75" spans="2:8" ht="39.75" customHeight="1" x14ac:dyDescent="0.3">
      <c r="B75" s="29" t="s">
        <v>762</v>
      </c>
      <c r="C75" s="60" t="s">
        <v>763</v>
      </c>
      <c r="D75" s="21" t="s">
        <v>720</v>
      </c>
      <c r="E75" s="61" t="s">
        <v>720</v>
      </c>
      <c r="F75" s="31" t="s">
        <v>764</v>
      </c>
      <c r="G75" s="59" t="s">
        <v>681</v>
      </c>
      <c r="H75" s="38" t="s">
        <v>765</v>
      </c>
    </row>
    <row r="76" spans="2:8" ht="39.75" customHeight="1" x14ac:dyDescent="0.3">
      <c r="B76" s="55" t="s">
        <v>766</v>
      </c>
      <c r="C76" s="56" t="s">
        <v>767</v>
      </c>
      <c r="D76" s="12" t="s">
        <v>768</v>
      </c>
      <c r="E76" s="57" t="s">
        <v>679</v>
      </c>
      <c r="F76" s="58" t="s">
        <v>769</v>
      </c>
      <c r="G76" s="59" t="s">
        <v>681</v>
      </c>
      <c r="H76" s="38" t="s">
        <v>770</v>
      </c>
    </row>
    <row r="77" spans="2:8" ht="39.75" customHeight="1" x14ac:dyDescent="0.3">
      <c r="B77" s="29" t="s">
        <v>771</v>
      </c>
      <c r="C77" s="60" t="s">
        <v>772</v>
      </c>
      <c r="D77" s="12" t="s">
        <v>773</v>
      </c>
      <c r="E77" s="61" t="s">
        <v>774</v>
      </c>
      <c r="F77" s="31" t="s">
        <v>775</v>
      </c>
      <c r="G77" s="28" t="s">
        <v>746</v>
      </c>
      <c r="H77" s="38" t="s">
        <v>776</v>
      </c>
    </row>
  </sheetData>
  <mergeCells count="3">
    <mergeCell ref="B2:J2"/>
    <mergeCell ref="B4:J4"/>
    <mergeCell ref="B54:J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15"/>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3" customWidth="1"/>
    <col min="2" max="2" width="10" customWidth="1"/>
    <col min="3" max="3" width="28" customWidth="1"/>
    <col min="4" max="4" width="10" customWidth="1"/>
    <col min="5" max="5" width="38" customWidth="1"/>
    <col min="6" max="6" width="36" customWidth="1"/>
    <col min="7" max="8" width="20" customWidth="1"/>
  </cols>
  <sheetData>
    <row r="2" spans="2:8" ht="25.5" customHeight="1" x14ac:dyDescent="0.3">
      <c r="B2" s="1" t="s">
        <v>777</v>
      </c>
      <c r="C2" s="1"/>
      <c r="D2" s="1"/>
      <c r="E2" s="1"/>
      <c r="F2" s="1"/>
      <c r="G2" s="1"/>
      <c r="H2" s="1"/>
    </row>
    <row r="4" spans="2:8" ht="19.5" customHeight="1" x14ac:dyDescent="0.3">
      <c r="B4" s="11" t="s">
        <v>74</v>
      </c>
      <c r="C4" s="11" t="s">
        <v>778</v>
      </c>
      <c r="D4" s="11" t="s">
        <v>779</v>
      </c>
      <c r="E4" s="11" t="s">
        <v>780</v>
      </c>
      <c r="F4" s="11" t="s">
        <v>781</v>
      </c>
      <c r="G4" s="11" t="s">
        <v>782</v>
      </c>
      <c r="H4" s="11" t="s">
        <v>783</v>
      </c>
    </row>
    <row r="5" spans="2:8" ht="90" customHeight="1" x14ac:dyDescent="0.3">
      <c r="B5" s="33" t="s">
        <v>784</v>
      </c>
      <c r="C5" s="35" t="s">
        <v>785</v>
      </c>
      <c r="D5" s="28" t="s">
        <v>786</v>
      </c>
      <c r="E5" s="37" t="s">
        <v>787</v>
      </c>
      <c r="F5" s="36" t="s">
        <v>788</v>
      </c>
      <c r="G5" s="28" t="s">
        <v>789</v>
      </c>
      <c r="H5" s="27" t="s">
        <v>790</v>
      </c>
    </row>
    <row r="6" spans="2:8" ht="90" customHeight="1" x14ac:dyDescent="0.3">
      <c r="B6" s="33" t="s">
        <v>791</v>
      </c>
      <c r="C6" s="29" t="s">
        <v>792</v>
      </c>
      <c r="D6" s="28" t="s">
        <v>793</v>
      </c>
      <c r="E6" s="31" t="s">
        <v>794</v>
      </c>
      <c r="F6" s="30" t="s">
        <v>795</v>
      </c>
      <c r="G6" s="28" t="s">
        <v>796</v>
      </c>
      <c r="H6" s="27" t="s">
        <v>790</v>
      </c>
    </row>
    <row r="7" spans="2:8" ht="90" customHeight="1" x14ac:dyDescent="0.3">
      <c r="B7" s="33" t="s">
        <v>797</v>
      </c>
      <c r="C7" s="35" t="s">
        <v>798</v>
      </c>
      <c r="D7" s="26" t="s">
        <v>799</v>
      </c>
      <c r="E7" s="37" t="s">
        <v>800</v>
      </c>
      <c r="F7" s="36" t="s">
        <v>801</v>
      </c>
      <c r="G7" s="28" t="s">
        <v>802</v>
      </c>
      <c r="H7" s="27" t="s">
        <v>790</v>
      </c>
    </row>
    <row r="8" spans="2:8" ht="90" customHeight="1" x14ac:dyDescent="0.3">
      <c r="B8" s="33" t="s">
        <v>803</v>
      </c>
      <c r="C8" s="29" t="s">
        <v>804</v>
      </c>
      <c r="D8" s="28" t="s">
        <v>805</v>
      </c>
      <c r="E8" s="31" t="s">
        <v>806</v>
      </c>
      <c r="F8" s="30" t="s">
        <v>807</v>
      </c>
      <c r="G8" s="28" t="s">
        <v>808</v>
      </c>
      <c r="H8" s="27" t="s">
        <v>790</v>
      </c>
    </row>
    <row r="9" spans="2:8" ht="90" customHeight="1" x14ac:dyDescent="0.3">
      <c r="B9" s="33" t="s">
        <v>809</v>
      </c>
      <c r="C9" s="35" t="s">
        <v>810</v>
      </c>
      <c r="D9" s="26" t="s">
        <v>811</v>
      </c>
      <c r="E9" s="37" t="s">
        <v>812</v>
      </c>
      <c r="F9" s="36" t="s">
        <v>813</v>
      </c>
      <c r="G9" s="28" t="s">
        <v>814</v>
      </c>
      <c r="H9" s="27" t="s">
        <v>790</v>
      </c>
    </row>
    <row r="10" spans="2:8" ht="90" customHeight="1" x14ac:dyDescent="0.3">
      <c r="B10" s="33" t="s">
        <v>815</v>
      </c>
      <c r="C10" s="29" t="s">
        <v>816</v>
      </c>
      <c r="D10" s="27" t="s">
        <v>817</v>
      </c>
      <c r="E10" s="31" t="s">
        <v>818</v>
      </c>
      <c r="F10" s="30" t="s">
        <v>819</v>
      </c>
      <c r="G10" s="28" t="s">
        <v>820</v>
      </c>
      <c r="H10" s="27" t="s">
        <v>790</v>
      </c>
    </row>
    <row r="11" spans="2:8" ht="90" customHeight="1" x14ac:dyDescent="0.3">
      <c r="B11" s="33" t="s">
        <v>821</v>
      </c>
      <c r="C11" s="35" t="s">
        <v>822</v>
      </c>
      <c r="D11" s="27" t="s">
        <v>823</v>
      </c>
      <c r="E11" s="37" t="s">
        <v>824</v>
      </c>
      <c r="F11" s="36" t="s">
        <v>825</v>
      </c>
      <c r="G11" s="28" t="s">
        <v>826</v>
      </c>
      <c r="H11" s="28" t="s">
        <v>827</v>
      </c>
    </row>
    <row r="12" spans="2:8" ht="90" customHeight="1" x14ac:dyDescent="0.3">
      <c r="B12" s="33" t="s">
        <v>828</v>
      </c>
      <c r="C12" s="29" t="s">
        <v>829</v>
      </c>
      <c r="D12" s="28" t="s">
        <v>830</v>
      </c>
      <c r="E12" s="31" t="s">
        <v>831</v>
      </c>
      <c r="F12" s="30" t="s">
        <v>832</v>
      </c>
      <c r="G12" s="28" t="s">
        <v>833</v>
      </c>
      <c r="H12" s="27" t="s">
        <v>790</v>
      </c>
    </row>
    <row r="13" spans="2:8" ht="90" customHeight="1" x14ac:dyDescent="0.3">
      <c r="B13" s="33" t="s">
        <v>834</v>
      </c>
      <c r="C13" s="35" t="s">
        <v>835</v>
      </c>
      <c r="D13" s="27" t="s">
        <v>836</v>
      </c>
      <c r="E13" s="37" t="s">
        <v>837</v>
      </c>
      <c r="F13" s="36" t="s">
        <v>838</v>
      </c>
      <c r="G13" s="28" t="s">
        <v>839</v>
      </c>
      <c r="H13" s="28" t="s">
        <v>840</v>
      </c>
    </row>
    <row r="14" spans="2:8" ht="90" customHeight="1" x14ac:dyDescent="0.3">
      <c r="B14" s="33" t="s">
        <v>841</v>
      </c>
      <c r="C14" s="29" t="s">
        <v>842</v>
      </c>
      <c r="D14" s="28" t="s">
        <v>843</v>
      </c>
      <c r="E14" s="31" t="s">
        <v>844</v>
      </c>
      <c r="F14" s="30" t="s">
        <v>845</v>
      </c>
      <c r="G14" s="28" t="s">
        <v>846</v>
      </c>
      <c r="H14" s="27" t="s">
        <v>790</v>
      </c>
    </row>
    <row r="15" spans="2:8" ht="90" customHeight="1" x14ac:dyDescent="0.3">
      <c r="B15" s="33" t="s">
        <v>847</v>
      </c>
      <c r="C15" s="35" t="s">
        <v>848</v>
      </c>
      <c r="D15" s="28" t="s">
        <v>849</v>
      </c>
      <c r="E15" s="37" t="s">
        <v>850</v>
      </c>
      <c r="F15" s="36" t="s">
        <v>851</v>
      </c>
      <c r="G15" s="28" t="s">
        <v>846</v>
      </c>
      <c r="H15" s="27" t="s">
        <v>790</v>
      </c>
    </row>
  </sheetData>
  <mergeCells count="1">
    <mergeCell ref="B2:H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47"/>
  <sheetViews>
    <sheetView showGridLines="0" zoomScaleNormal="100" workbookViewId="0">
      <pane xSplit="1" ySplit="4" topLeftCell="B5" activePane="bottomRight" state="frozen"/>
      <selection pane="topRight" activeCell="B1" sqref="B1"/>
      <selection pane="bottomLeft" activeCell="A5" sqref="A5"/>
      <selection pane="bottomRight" activeCell="D5" sqref="D5"/>
    </sheetView>
  </sheetViews>
  <sheetFormatPr baseColWidth="10" defaultColWidth="8.6640625" defaultRowHeight="14.4" x14ac:dyDescent="0.3"/>
  <cols>
    <col min="1" max="1" width="3" customWidth="1"/>
    <col min="2" max="2" width="16" customWidth="1"/>
    <col min="3" max="3" width="30" customWidth="1"/>
    <col min="4" max="4" width="22" customWidth="1"/>
    <col min="5" max="5" width="26" customWidth="1"/>
    <col min="6" max="6" width="20" customWidth="1"/>
    <col min="7" max="8" width="22" customWidth="1"/>
  </cols>
  <sheetData>
    <row r="2" spans="2:8" ht="25.5" customHeight="1" x14ac:dyDescent="0.3">
      <c r="B2" s="1" t="s">
        <v>852</v>
      </c>
      <c r="C2" s="1"/>
      <c r="D2" s="1"/>
      <c r="E2" s="1"/>
      <c r="F2" s="1"/>
      <c r="G2" s="1"/>
      <c r="H2" s="1"/>
    </row>
    <row r="4" spans="2:8" ht="15.75" customHeight="1" x14ac:dyDescent="0.3">
      <c r="B4" s="5" t="s">
        <v>853</v>
      </c>
      <c r="C4" s="5"/>
      <c r="D4" s="5"/>
      <c r="E4" s="5"/>
      <c r="F4" s="5"/>
      <c r="G4" s="5"/>
      <c r="H4" s="5"/>
    </row>
    <row r="5" spans="2:8" ht="15" customHeight="1" x14ac:dyDescent="0.3">
      <c r="B5" s="11" t="s">
        <v>168</v>
      </c>
      <c r="C5" s="11" t="s">
        <v>854</v>
      </c>
      <c r="D5" s="11" t="s">
        <v>855</v>
      </c>
      <c r="E5" s="11" t="s">
        <v>856</v>
      </c>
      <c r="F5" s="11" t="s">
        <v>857</v>
      </c>
      <c r="G5" s="11" t="s">
        <v>858</v>
      </c>
      <c r="H5" s="11" t="s">
        <v>859</v>
      </c>
    </row>
    <row r="6" spans="2:8" ht="45" customHeight="1" x14ac:dyDescent="0.3">
      <c r="B6" s="63" t="s">
        <v>860</v>
      </c>
      <c r="C6" s="37" t="s">
        <v>861</v>
      </c>
      <c r="D6" s="64" t="s">
        <v>862</v>
      </c>
      <c r="E6" s="37" t="s">
        <v>863</v>
      </c>
      <c r="F6" s="45" t="s">
        <v>864</v>
      </c>
      <c r="G6" s="22" t="s">
        <v>865</v>
      </c>
      <c r="H6" s="65" t="s">
        <v>866</v>
      </c>
    </row>
    <row r="7" spans="2:8" ht="45" customHeight="1" x14ac:dyDescent="0.3">
      <c r="B7" s="66" t="s">
        <v>867</v>
      </c>
      <c r="C7" s="31" t="s">
        <v>868</v>
      </c>
      <c r="D7" s="64" t="s">
        <v>869</v>
      </c>
      <c r="E7" s="31" t="s">
        <v>870</v>
      </c>
      <c r="F7" s="45" t="s">
        <v>871</v>
      </c>
      <c r="G7" s="22" t="s">
        <v>872</v>
      </c>
      <c r="H7" s="65" t="s">
        <v>866</v>
      </c>
    </row>
    <row r="8" spans="2:8" ht="45" customHeight="1" x14ac:dyDescent="0.3">
      <c r="B8" s="63" t="s">
        <v>873</v>
      </c>
      <c r="C8" s="37" t="s">
        <v>874</v>
      </c>
      <c r="D8" s="64" t="s">
        <v>875</v>
      </c>
      <c r="E8" s="37" t="s">
        <v>876</v>
      </c>
      <c r="F8" s="45" t="s">
        <v>877</v>
      </c>
      <c r="G8" s="22" t="s">
        <v>878</v>
      </c>
      <c r="H8" s="65" t="s">
        <v>879</v>
      </c>
    </row>
    <row r="9" spans="2:8" ht="45" customHeight="1" x14ac:dyDescent="0.3">
      <c r="B9" s="66" t="s">
        <v>880</v>
      </c>
      <c r="C9" s="31" t="s">
        <v>881</v>
      </c>
      <c r="D9" s="64" t="s">
        <v>882</v>
      </c>
      <c r="E9" s="31" t="s">
        <v>883</v>
      </c>
      <c r="F9" s="45" t="s">
        <v>884</v>
      </c>
      <c r="G9" s="22" t="s">
        <v>885</v>
      </c>
      <c r="H9" s="65" t="s">
        <v>886</v>
      </c>
    </row>
    <row r="10" spans="2:8" ht="45" customHeight="1" x14ac:dyDescent="0.3">
      <c r="B10" s="63" t="s">
        <v>887</v>
      </c>
      <c r="C10" s="37" t="s">
        <v>888</v>
      </c>
      <c r="D10" s="64" t="s">
        <v>889</v>
      </c>
      <c r="E10" s="37" t="s">
        <v>890</v>
      </c>
      <c r="F10" s="45" t="s">
        <v>891</v>
      </c>
      <c r="G10" s="22" t="s">
        <v>892</v>
      </c>
      <c r="H10" s="65" t="s">
        <v>893</v>
      </c>
    </row>
    <row r="12" spans="2:8" ht="15.75" customHeight="1" x14ac:dyDescent="0.3">
      <c r="B12" s="4" t="s">
        <v>894</v>
      </c>
      <c r="C12" s="4"/>
      <c r="D12" s="4"/>
      <c r="E12" s="4"/>
      <c r="F12" s="4"/>
      <c r="G12" s="4"/>
      <c r="H12" s="4"/>
    </row>
    <row r="13" spans="2:8" ht="15" customHeight="1" x14ac:dyDescent="0.3">
      <c r="B13" s="11" t="s">
        <v>895</v>
      </c>
      <c r="C13" s="11" t="s">
        <v>896</v>
      </c>
      <c r="D13" s="11" t="s">
        <v>164</v>
      </c>
      <c r="E13" s="11" t="s">
        <v>854</v>
      </c>
      <c r="F13" s="11" t="s">
        <v>897</v>
      </c>
      <c r="G13" s="11" t="s">
        <v>898</v>
      </c>
      <c r="H13" s="11" t="s">
        <v>417</v>
      </c>
    </row>
    <row r="14" spans="2:8" ht="24" customHeight="1" x14ac:dyDescent="0.3">
      <c r="B14" s="62" t="s">
        <v>899</v>
      </c>
      <c r="C14" s="67" t="s">
        <v>900</v>
      </c>
      <c r="D14" s="24" t="s">
        <v>901</v>
      </c>
      <c r="E14" s="37" t="s">
        <v>902</v>
      </c>
      <c r="F14" s="59" t="s">
        <v>903</v>
      </c>
      <c r="G14" s="68" t="s">
        <v>904</v>
      </c>
      <c r="H14" s="44" t="s">
        <v>905</v>
      </c>
    </row>
    <row r="15" spans="2:8" ht="24" customHeight="1" x14ac:dyDescent="0.3">
      <c r="B15" s="62" t="s">
        <v>899</v>
      </c>
      <c r="C15" s="69" t="s">
        <v>906</v>
      </c>
      <c r="D15" s="24" t="s">
        <v>907</v>
      </c>
      <c r="E15" s="31" t="s">
        <v>908</v>
      </c>
      <c r="F15" s="59" t="s">
        <v>903</v>
      </c>
      <c r="G15" s="68" t="s">
        <v>904</v>
      </c>
      <c r="H15" s="48" t="s">
        <v>418</v>
      </c>
    </row>
    <row r="16" spans="2:8" ht="24" customHeight="1" x14ac:dyDescent="0.3">
      <c r="B16" s="62" t="s">
        <v>899</v>
      </c>
      <c r="C16" s="67" t="s">
        <v>909</v>
      </c>
      <c r="D16" s="24" t="s">
        <v>910</v>
      </c>
      <c r="E16" s="37" t="s">
        <v>911</v>
      </c>
      <c r="F16" s="59" t="s">
        <v>903</v>
      </c>
      <c r="G16" s="68" t="s">
        <v>418</v>
      </c>
      <c r="H16" s="44" t="s">
        <v>912</v>
      </c>
    </row>
    <row r="17" spans="2:8" ht="24" customHeight="1" x14ac:dyDescent="0.3">
      <c r="B17" s="62" t="s">
        <v>899</v>
      </c>
      <c r="C17" s="69" t="s">
        <v>913</v>
      </c>
      <c r="D17" s="24" t="s">
        <v>914</v>
      </c>
      <c r="E17" s="31" t="s">
        <v>915</v>
      </c>
      <c r="F17" s="59" t="s">
        <v>903</v>
      </c>
      <c r="G17" s="68" t="s">
        <v>904</v>
      </c>
      <c r="H17" s="48" t="s">
        <v>418</v>
      </c>
    </row>
    <row r="18" spans="2:8" ht="24" customHeight="1" x14ac:dyDescent="0.3">
      <c r="B18" s="62" t="s">
        <v>899</v>
      </c>
      <c r="C18" s="67" t="s">
        <v>916</v>
      </c>
      <c r="D18" s="24" t="s">
        <v>917</v>
      </c>
      <c r="E18" s="37" t="s">
        <v>918</v>
      </c>
      <c r="F18" s="59" t="s">
        <v>903</v>
      </c>
      <c r="G18" s="68" t="s">
        <v>418</v>
      </c>
      <c r="H18" s="44" t="s">
        <v>919</v>
      </c>
    </row>
    <row r="19" spans="2:8" ht="24" customHeight="1" x14ac:dyDescent="0.3">
      <c r="B19" s="62" t="s">
        <v>899</v>
      </c>
      <c r="C19" s="69" t="s">
        <v>920</v>
      </c>
      <c r="D19" s="24" t="s">
        <v>914</v>
      </c>
      <c r="E19" s="31" t="s">
        <v>921</v>
      </c>
      <c r="F19" s="59" t="s">
        <v>903</v>
      </c>
      <c r="G19" s="68" t="s">
        <v>418</v>
      </c>
      <c r="H19" s="48" t="s">
        <v>919</v>
      </c>
    </row>
    <row r="20" spans="2:8" ht="24" customHeight="1" x14ac:dyDescent="0.3">
      <c r="B20" s="27" t="s">
        <v>922</v>
      </c>
      <c r="C20" s="67" t="s">
        <v>923</v>
      </c>
      <c r="D20" s="24" t="s">
        <v>924</v>
      </c>
      <c r="E20" s="37" t="s">
        <v>925</v>
      </c>
      <c r="F20" s="28" t="s">
        <v>926</v>
      </c>
      <c r="G20" s="68" t="s">
        <v>927</v>
      </c>
      <c r="H20" s="44" t="s">
        <v>928</v>
      </c>
    </row>
    <row r="21" spans="2:8" ht="24" customHeight="1" x14ac:dyDescent="0.3">
      <c r="B21" s="27" t="s">
        <v>922</v>
      </c>
      <c r="C21" s="69" t="s">
        <v>929</v>
      </c>
      <c r="D21" s="24" t="s">
        <v>910</v>
      </c>
      <c r="E21" s="31" t="s">
        <v>930</v>
      </c>
      <c r="F21" s="28" t="s">
        <v>926</v>
      </c>
      <c r="G21" s="68" t="s">
        <v>418</v>
      </c>
      <c r="H21" s="48" t="s">
        <v>931</v>
      </c>
    </row>
    <row r="22" spans="2:8" ht="24" customHeight="1" x14ac:dyDescent="0.3">
      <c r="B22" s="27" t="s">
        <v>922</v>
      </c>
      <c r="C22" s="67" t="s">
        <v>932</v>
      </c>
      <c r="D22" s="24" t="s">
        <v>933</v>
      </c>
      <c r="E22" s="37" t="s">
        <v>934</v>
      </c>
      <c r="F22" s="28" t="s">
        <v>926</v>
      </c>
      <c r="G22" s="68" t="s">
        <v>418</v>
      </c>
      <c r="H22" s="44" t="s">
        <v>935</v>
      </c>
    </row>
    <row r="23" spans="2:8" ht="24" customHeight="1" x14ac:dyDescent="0.3">
      <c r="B23" s="27" t="s">
        <v>922</v>
      </c>
      <c r="C23" s="69" t="s">
        <v>936</v>
      </c>
      <c r="D23" s="24" t="s">
        <v>937</v>
      </c>
      <c r="E23" s="31" t="s">
        <v>938</v>
      </c>
      <c r="F23" s="28" t="s">
        <v>926</v>
      </c>
      <c r="G23" s="68" t="s">
        <v>418</v>
      </c>
      <c r="H23" s="48" t="s">
        <v>939</v>
      </c>
    </row>
    <row r="24" spans="2:8" ht="24" customHeight="1" x14ac:dyDescent="0.3">
      <c r="B24" s="28" t="s">
        <v>940</v>
      </c>
      <c r="C24" s="67" t="s">
        <v>923</v>
      </c>
      <c r="D24" s="24" t="s">
        <v>924</v>
      </c>
      <c r="E24" s="37" t="s">
        <v>925</v>
      </c>
      <c r="F24" s="28" t="s">
        <v>926</v>
      </c>
      <c r="G24" s="68" t="s">
        <v>941</v>
      </c>
      <c r="H24" s="44" t="s">
        <v>418</v>
      </c>
    </row>
    <row r="25" spans="2:8" ht="24" customHeight="1" x14ac:dyDescent="0.3">
      <c r="B25" s="28" t="s">
        <v>940</v>
      </c>
      <c r="C25" s="69" t="s">
        <v>942</v>
      </c>
      <c r="D25" s="24" t="s">
        <v>943</v>
      </c>
      <c r="E25" s="31" t="s">
        <v>944</v>
      </c>
      <c r="F25" s="28" t="s">
        <v>926</v>
      </c>
      <c r="G25" s="68" t="s">
        <v>945</v>
      </c>
      <c r="H25" s="48" t="s">
        <v>418</v>
      </c>
    </row>
    <row r="26" spans="2:8" ht="24" customHeight="1" x14ac:dyDescent="0.3">
      <c r="B26" s="28" t="s">
        <v>940</v>
      </c>
      <c r="C26" s="67" t="s">
        <v>946</v>
      </c>
      <c r="D26" s="24" t="s">
        <v>947</v>
      </c>
      <c r="E26" s="37" t="s">
        <v>948</v>
      </c>
      <c r="F26" s="28" t="s">
        <v>926</v>
      </c>
      <c r="G26" s="68" t="s">
        <v>904</v>
      </c>
      <c r="H26" s="44" t="s">
        <v>418</v>
      </c>
    </row>
    <row r="27" spans="2:8" ht="24" customHeight="1" x14ac:dyDescent="0.3">
      <c r="B27" s="28" t="s">
        <v>940</v>
      </c>
      <c r="C27" s="69" t="s">
        <v>949</v>
      </c>
      <c r="D27" s="24" t="s">
        <v>950</v>
      </c>
      <c r="E27" s="31" t="s">
        <v>951</v>
      </c>
      <c r="F27" s="28" t="s">
        <v>926</v>
      </c>
      <c r="G27" s="68" t="s">
        <v>904</v>
      </c>
      <c r="H27" s="48" t="s">
        <v>952</v>
      </c>
    </row>
    <row r="28" spans="2:8" ht="24" customHeight="1" x14ac:dyDescent="0.3">
      <c r="B28" s="28" t="s">
        <v>940</v>
      </c>
      <c r="C28" s="67" t="s">
        <v>953</v>
      </c>
      <c r="D28" s="24" t="s">
        <v>910</v>
      </c>
      <c r="E28" s="37" t="s">
        <v>954</v>
      </c>
      <c r="F28" s="28" t="s">
        <v>926</v>
      </c>
      <c r="G28" s="68" t="s">
        <v>418</v>
      </c>
      <c r="H28" s="44" t="s">
        <v>418</v>
      </c>
    </row>
    <row r="29" spans="2:8" ht="24" customHeight="1" x14ac:dyDescent="0.3">
      <c r="B29" s="28" t="s">
        <v>940</v>
      </c>
      <c r="C29" s="69" t="s">
        <v>955</v>
      </c>
      <c r="D29" s="24" t="s">
        <v>956</v>
      </c>
      <c r="E29" s="31" t="s">
        <v>957</v>
      </c>
      <c r="F29" s="28" t="s">
        <v>926</v>
      </c>
      <c r="G29" s="68" t="s">
        <v>904</v>
      </c>
      <c r="H29" s="48" t="s">
        <v>418</v>
      </c>
    </row>
    <row r="30" spans="2:8" ht="24" customHeight="1" x14ac:dyDescent="0.3">
      <c r="B30" s="28" t="s">
        <v>940</v>
      </c>
      <c r="C30" s="67" t="s">
        <v>958</v>
      </c>
      <c r="D30" s="24" t="s">
        <v>910</v>
      </c>
      <c r="E30" s="37" t="s">
        <v>959</v>
      </c>
      <c r="F30" s="28" t="s">
        <v>926</v>
      </c>
      <c r="G30" s="68" t="s">
        <v>418</v>
      </c>
      <c r="H30" s="44" t="s">
        <v>960</v>
      </c>
    </row>
    <row r="31" spans="2:8" ht="24" customHeight="1" x14ac:dyDescent="0.3">
      <c r="B31" s="28" t="s">
        <v>940</v>
      </c>
      <c r="C31" s="69" t="s">
        <v>961</v>
      </c>
      <c r="D31" s="24" t="s">
        <v>956</v>
      </c>
      <c r="E31" s="31" t="s">
        <v>962</v>
      </c>
      <c r="F31" s="28" t="s">
        <v>926</v>
      </c>
      <c r="G31" s="68" t="s">
        <v>418</v>
      </c>
      <c r="H31" s="48" t="s">
        <v>963</v>
      </c>
    </row>
    <row r="32" spans="2:8" ht="24" customHeight="1" x14ac:dyDescent="0.3">
      <c r="B32" s="28" t="s">
        <v>940</v>
      </c>
      <c r="C32" s="67" t="s">
        <v>964</v>
      </c>
      <c r="D32" s="24" t="s">
        <v>965</v>
      </c>
      <c r="E32" s="37" t="s">
        <v>966</v>
      </c>
      <c r="F32" s="28" t="s">
        <v>926</v>
      </c>
      <c r="G32" s="68" t="s">
        <v>904</v>
      </c>
      <c r="H32" s="44" t="s">
        <v>967</v>
      </c>
    </row>
    <row r="33" spans="2:8" ht="24" customHeight="1" x14ac:dyDescent="0.3">
      <c r="B33" s="28" t="s">
        <v>940</v>
      </c>
      <c r="C33" s="69" t="s">
        <v>968</v>
      </c>
      <c r="D33" s="24" t="s">
        <v>933</v>
      </c>
      <c r="E33" s="31" t="s">
        <v>969</v>
      </c>
      <c r="F33" s="28" t="s">
        <v>926</v>
      </c>
      <c r="G33" s="68" t="s">
        <v>904</v>
      </c>
      <c r="H33" s="48" t="s">
        <v>970</v>
      </c>
    </row>
    <row r="34" spans="2:8" ht="24" customHeight="1" x14ac:dyDescent="0.3">
      <c r="B34" s="70" t="s">
        <v>971</v>
      </c>
      <c r="C34" s="67" t="s">
        <v>923</v>
      </c>
      <c r="D34" s="24" t="s">
        <v>924</v>
      </c>
      <c r="E34" s="37" t="s">
        <v>925</v>
      </c>
      <c r="F34" s="28" t="s">
        <v>926</v>
      </c>
      <c r="G34" s="68" t="s">
        <v>941</v>
      </c>
      <c r="H34" s="44" t="s">
        <v>418</v>
      </c>
    </row>
    <row r="35" spans="2:8" ht="24" customHeight="1" x14ac:dyDescent="0.3">
      <c r="B35" s="70" t="s">
        <v>971</v>
      </c>
      <c r="C35" s="69" t="s">
        <v>942</v>
      </c>
      <c r="D35" s="24" t="s">
        <v>943</v>
      </c>
      <c r="E35" s="31" t="s">
        <v>972</v>
      </c>
      <c r="F35" s="28" t="s">
        <v>926</v>
      </c>
      <c r="G35" s="68" t="s">
        <v>418</v>
      </c>
      <c r="H35" s="48" t="s">
        <v>418</v>
      </c>
    </row>
    <row r="36" spans="2:8" ht="24" customHeight="1" x14ac:dyDescent="0.3">
      <c r="B36" s="70" t="s">
        <v>971</v>
      </c>
      <c r="C36" s="67" t="s">
        <v>946</v>
      </c>
      <c r="D36" s="24" t="s">
        <v>947</v>
      </c>
      <c r="E36" s="37" t="s">
        <v>973</v>
      </c>
      <c r="F36" s="28" t="s">
        <v>926</v>
      </c>
      <c r="G36" s="68" t="s">
        <v>904</v>
      </c>
      <c r="H36" s="44" t="s">
        <v>418</v>
      </c>
    </row>
    <row r="37" spans="2:8" ht="24" customHeight="1" x14ac:dyDescent="0.3">
      <c r="B37" s="70" t="s">
        <v>971</v>
      </c>
      <c r="C37" s="69" t="s">
        <v>974</v>
      </c>
      <c r="D37" s="24" t="s">
        <v>950</v>
      </c>
      <c r="E37" s="31" t="s">
        <v>975</v>
      </c>
      <c r="F37" s="28" t="s">
        <v>926</v>
      </c>
      <c r="G37" s="68" t="s">
        <v>904</v>
      </c>
      <c r="H37" s="48" t="s">
        <v>418</v>
      </c>
    </row>
    <row r="38" spans="2:8" ht="24" customHeight="1" x14ac:dyDescent="0.3">
      <c r="B38" s="70" t="s">
        <v>971</v>
      </c>
      <c r="C38" s="67" t="s">
        <v>953</v>
      </c>
      <c r="D38" s="24" t="s">
        <v>910</v>
      </c>
      <c r="E38" s="37" t="s">
        <v>954</v>
      </c>
      <c r="F38" s="28" t="s">
        <v>926</v>
      </c>
      <c r="G38" s="68" t="s">
        <v>418</v>
      </c>
      <c r="H38" s="44" t="s">
        <v>418</v>
      </c>
    </row>
    <row r="39" spans="2:8" ht="24" customHeight="1" x14ac:dyDescent="0.3">
      <c r="B39" s="70" t="s">
        <v>971</v>
      </c>
      <c r="C39" s="69" t="s">
        <v>955</v>
      </c>
      <c r="D39" s="24" t="s">
        <v>956</v>
      </c>
      <c r="E39" s="31" t="s">
        <v>976</v>
      </c>
      <c r="F39" s="28" t="s">
        <v>926</v>
      </c>
      <c r="G39" s="68" t="s">
        <v>418</v>
      </c>
      <c r="H39" s="48" t="s">
        <v>418</v>
      </c>
    </row>
    <row r="40" spans="2:8" ht="24" customHeight="1" x14ac:dyDescent="0.3">
      <c r="B40" s="70" t="s">
        <v>971</v>
      </c>
      <c r="C40" s="67" t="s">
        <v>958</v>
      </c>
      <c r="D40" s="24" t="s">
        <v>910</v>
      </c>
      <c r="E40" s="37" t="s">
        <v>977</v>
      </c>
      <c r="F40" s="28" t="s">
        <v>926</v>
      </c>
      <c r="G40" s="68" t="s">
        <v>418</v>
      </c>
      <c r="H40" s="44" t="s">
        <v>418</v>
      </c>
    </row>
    <row r="41" spans="2:8" ht="24" customHeight="1" x14ac:dyDescent="0.3">
      <c r="B41" s="70" t="s">
        <v>971</v>
      </c>
      <c r="C41" s="69" t="s">
        <v>978</v>
      </c>
      <c r="D41" s="24" t="s">
        <v>914</v>
      </c>
      <c r="E41" s="31" t="s">
        <v>979</v>
      </c>
      <c r="F41" s="28" t="s">
        <v>926</v>
      </c>
      <c r="G41" s="68" t="s">
        <v>904</v>
      </c>
      <c r="H41" s="48" t="s">
        <v>980</v>
      </c>
    </row>
    <row r="42" spans="2:8" ht="24" customHeight="1" x14ac:dyDescent="0.3">
      <c r="B42" s="70" t="s">
        <v>971</v>
      </c>
      <c r="C42" s="67" t="s">
        <v>981</v>
      </c>
      <c r="D42" s="24" t="s">
        <v>982</v>
      </c>
      <c r="E42" s="37" t="s">
        <v>983</v>
      </c>
      <c r="F42" s="28" t="s">
        <v>926</v>
      </c>
      <c r="G42" s="68" t="s">
        <v>418</v>
      </c>
      <c r="H42" s="44" t="s">
        <v>984</v>
      </c>
    </row>
    <row r="43" spans="2:8" ht="24" customHeight="1" x14ac:dyDescent="0.3">
      <c r="B43" s="70" t="s">
        <v>971</v>
      </c>
      <c r="C43" s="69" t="s">
        <v>985</v>
      </c>
      <c r="D43" s="24" t="s">
        <v>910</v>
      </c>
      <c r="E43" s="31" t="s">
        <v>986</v>
      </c>
      <c r="F43" s="28" t="s">
        <v>926</v>
      </c>
      <c r="G43" s="68" t="s">
        <v>418</v>
      </c>
      <c r="H43" s="48" t="s">
        <v>987</v>
      </c>
    </row>
    <row r="44" spans="2:8" ht="24" customHeight="1" x14ac:dyDescent="0.3">
      <c r="B44" s="70" t="s">
        <v>971</v>
      </c>
      <c r="C44" s="67" t="s">
        <v>988</v>
      </c>
      <c r="D44" s="24" t="s">
        <v>965</v>
      </c>
      <c r="E44" s="37" t="s">
        <v>989</v>
      </c>
      <c r="F44" s="28" t="s">
        <v>926</v>
      </c>
      <c r="G44" s="68" t="s">
        <v>904</v>
      </c>
      <c r="H44" s="44" t="s">
        <v>990</v>
      </c>
    </row>
    <row r="45" spans="2:8" ht="24" customHeight="1" x14ac:dyDescent="0.3">
      <c r="B45" s="70" t="s">
        <v>971</v>
      </c>
      <c r="C45" s="69" t="s">
        <v>968</v>
      </c>
      <c r="D45" s="24" t="s">
        <v>933</v>
      </c>
      <c r="E45" s="31" t="s">
        <v>969</v>
      </c>
      <c r="F45" s="28" t="s">
        <v>926</v>
      </c>
      <c r="G45" s="68" t="s">
        <v>904</v>
      </c>
      <c r="H45" s="48" t="s">
        <v>970</v>
      </c>
    </row>
    <row r="46" spans="2:8" ht="24" customHeight="1" x14ac:dyDescent="0.3">
      <c r="B46" s="70" t="s">
        <v>971</v>
      </c>
      <c r="C46" s="67" t="s">
        <v>991</v>
      </c>
      <c r="D46" s="24" t="s">
        <v>965</v>
      </c>
      <c r="E46" s="37" t="s">
        <v>992</v>
      </c>
      <c r="F46" s="28" t="s">
        <v>926</v>
      </c>
      <c r="G46" s="68" t="s">
        <v>418</v>
      </c>
      <c r="H46" s="44" t="s">
        <v>993</v>
      </c>
    </row>
    <row r="47" spans="2:8" ht="24" customHeight="1" x14ac:dyDescent="0.3">
      <c r="B47" s="70" t="s">
        <v>971</v>
      </c>
      <c r="C47" s="69" t="s">
        <v>994</v>
      </c>
      <c r="D47" s="24" t="s">
        <v>995</v>
      </c>
      <c r="E47" s="31" t="s">
        <v>996</v>
      </c>
      <c r="F47" s="28" t="s">
        <v>926</v>
      </c>
      <c r="G47" s="68" t="s">
        <v>418</v>
      </c>
      <c r="H47" s="48" t="s">
        <v>997</v>
      </c>
    </row>
  </sheetData>
  <mergeCells count="3">
    <mergeCell ref="B2:H2"/>
    <mergeCell ref="B4:H4"/>
    <mergeCell ref="B12:H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1·Ficha</vt:lpstr>
      <vt:lpstr>2·Decisiones</vt:lpstr>
      <vt:lpstr>3·Tareas</vt:lpstr>
      <vt:lpstr>4·Inputs M303</vt:lpstr>
      <vt:lpstr>5·Casuísticas</vt:lpstr>
      <vt:lpstr>6·Outputs y BD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alvaro guillen</cp:lastModifiedBy>
  <cp:revision>0</cp:revision>
  <dcterms:created xsi:type="dcterms:W3CDTF">2026-06-30T23:16:34Z</dcterms:created>
  <dcterms:modified xsi:type="dcterms:W3CDTF">2026-07-01T11:17:31Z</dcterms:modified>
  <dc:language>en-US</dc:language>
</cp:coreProperties>
</file>